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codeName="ThisWorkbook" defaultThemeVersion="124226"/>
  <mc:AlternateContent xmlns:mc="http://schemas.openxmlformats.org/markup-compatibility/2006">
    <mc:Choice Requires="x15">
      <x15ac:absPath xmlns:x15ac="http://schemas.microsoft.com/office/spreadsheetml/2010/11/ac" url="C:\Users\kmcke\Desktop\"/>
    </mc:Choice>
  </mc:AlternateContent>
  <bookViews>
    <workbookView xWindow="0" yWindow="0" windowWidth="28800" windowHeight="12210" activeTab="1" xr2:uid="{00000000-000D-0000-FFFF-FFFF00000000}"/>
  </bookViews>
  <sheets>
    <sheet name="Explanation" sheetId="5" r:id="rId1"/>
    <sheet name="ClusterAnalysis" sheetId="4" r:id="rId2"/>
  </sheets>
  <definedNames>
    <definedName name="CalculateCentroids">ClusterAnalysis!$R$16:$CG$25</definedName>
    <definedName name="clusterValues">ClusterAnalysis!$CH$35:$CH$76</definedName>
    <definedName name="Factors">ClusterAnalysis!$Q$2</definedName>
    <definedName name="isEqual">ClusterAnalysis!#REF!</definedName>
    <definedName name="Names">ClusterAnalysis!$Q$34</definedName>
    <definedName name="newCentroids">ClusterAnalysis!$R$3:$CG$12</definedName>
    <definedName name="newClusters">ClusterAnalysis!$E$35:$E$76</definedName>
    <definedName name="numClusters">ClusterAnalysis!$R$31</definedName>
    <definedName name="prevClusters">ClusterAnalysis!$D$35:$D$76</definedName>
    <definedName name="Random1">ClusterAnalysis!$P$3</definedName>
    <definedName name="Random2">ClusterAnalysis!$P$4</definedName>
    <definedName name="Random3">ClusterAnalysis!$P$5</definedName>
    <definedName name="randomStartingCentroids">ClusterAnalysis!$P$3:$P$5</definedName>
    <definedName name="Seed">ClusterAnalysis!$V$31</definedName>
    <definedName name="sortKeyCluster">ClusterAnalysis!$CH$34</definedName>
    <definedName name="sortKeyName">ClusterAnalysis!$Q$35:$Q$76</definedName>
    <definedName name="sortRange">ClusterAnalysis!$Q$34:$CH$76</definedName>
    <definedName name="timeToStop">ClusterAnalysis!$B$35</definedName>
  </definedNames>
  <calcPr calcId="171027"/>
</workbook>
</file>

<file path=xl/calcChain.xml><?xml version="1.0" encoding="utf-8"?>
<calcChain xmlns="http://schemas.openxmlformats.org/spreadsheetml/2006/main">
  <c r="G35" i="4" l="1" a="1"/>
  <c r="G35" i="4" s="1"/>
  <c r="H35" i="4" a="1"/>
  <c r="H35" i="4" s="1"/>
  <c r="I35" i="4" a="1"/>
  <c r="I35" i="4" s="1"/>
  <c r="J35" i="4" a="1"/>
  <c r="J35" i="4" s="1"/>
  <c r="K35" i="4" a="1"/>
  <c r="K35" i="4" s="1"/>
  <c r="L35" i="4" a="1"/>
  <c r="L35" i="4" s="1"/>
  <c r="M35" i="4" a="1"/>
  <c r="M35" i="4" s="1"/>
  <c r="N35" i="4" a="1"/>
  <c r="N35" i="4" s="1"/>
  <c r="O35" i="4" a="1"/>
  <c r="O35" i="4" s="1"/>
  <c r="G36" i="4" a="1"/>
  <c r="G36" i="4" s="1"/>
  <c r="H36" i="4" a="1"/>
  <c r="H36" i="4" s="1"/>
  <c r="I36" i="4" a="1"/>
  <c r="I36" i="4" s="1"/>
  <c r="J36" i="4" a="1"/>
  <c r="J36" i="4" s="1"/>
  <c r="K36" i="4" a="1"/>
  <c r="K36" i="4" s="1"/>
  <c r="L36" i="4" a="1"/>
  <c r="L36" i="4" s="1"/>
  <c r="M36" i="4" a="1"/>
  <c r="M36" i="4" s="1"/>
  <c r="N36" i="4" a="1"/>
  <c r="N36" i="4" s="1"/>
  <c r="O36" i="4" a="1"/>
  <c r="O36" i="4" s="1"/>
  <c r="G37" i="4" a="1"/>
  <c r="G37" i="4" s="1"/>
  <c r="H37" i="4" a="1"/>
  <c r="H37" i="4" s="1"/>
  <c r="I37" i="4" a="1"/>
  <c r="I37" i="4" s="1"/>
  <c r="J37" i="4" a="1"/>
  <c r="J37" i="4" s="1"/>
  <c r="K37" i="4" a="1"/>
  <c r="K37" i="4" s="1"/>
  <c r="L37" i="4" a="1"/>
  <c r="L37" i="4" s="1"/>
  <c r="M37" i="4" a="1"/>
  <c r="M37" i="4" s="1"/>
  <c r="N37" i="4" a="1"/>
  <c r="N37" i="4" s="1"/>
  <c r="O37" i="4" a="1"/>
  <c r="O37" i="4" s="1"/>
  <c r="G38" i="4" a="1"/>
  <c r="G38" i="4" s="1"/>
  <c r="H38" i="4" a="1"/>
  <c r="H38" i="4" s="1"/>
  <c r="I38" i="4" a="1"/>
  <c r="I38" i="4" s="1"/>
  <c r="J38" i="4" a="1"/>
  <c r="J38" i="4" s="1"/>
  <c r="K38" i="4" a="1"/>
  <c r="K38" i="4" s="1"/>
  <c r="L38" i="4" a="1"/>
  <c r="L38" i="4" s="1"/>
  <c r="M38" i="4" a="1"/>
  <c r="M38" i="4" s="1"/>
  <c r="N38" i="4" a="1"/>
  <c r="N38" i="4" s="1"/>
  <c r="O38" i="4" a="1"/>
  <c r="O38" i="4" s="1"/>
  <c r="G39" i="4" a="1"/>
  <c r="G39" i="4" s="1"/>
  <c r="H39" i="4" a="1"/>
  <c r="H39" i="4" s="1"/>
  <c r="I39" i="4" a="1"/>
  <c r="I39" i="4" s="1"/>
  <c r="J39" i="4" a="1"/>
  <c r="J39" i="4" s="1"/>
  <c r="K39" i="4" a="1"/>
  <c r="K39" i="4" s="1"/>
  <c r="L39" i="4" a="1"/>
  <c r="L39" i="4" s="1"/>
  <c r="M39" i="4" a="1"/>
  <c r="M39" i="4" s="1"/>
  <c r="N39" i="4" a="1"/>
  <c r="N39" i="4" s="1"/>
  <c r="O39" i="4" a="1"/>
  <c r="O39" i="4" s="1"/>
  <c r="G40" i="4" a="1"/>
  <c r="G40" i="4" s="1"/>
  <c r="H40" i="4" a="1"/>
  <c r="H40" i="4" s="1"/>
  <c r="I40" i="4" a="1"/>
  <c r="I40" i="4" s="1"/>
  <c r="J40" i="4" a="1"/>
  <c r="J40" i="4" s="1"/>
  <c r="K40" i="4" a="1"/>
  <c r="K40" i="4" s="1"/>
  <c r="L40" i="4" a="1"/>
  <c r="L40" i="4" s="1"/>
  <c r="M40" i="4" a="1"/>
  <c r="M40" i="4" s="1"/>
  <c r="N40" i="4" a="1"/>
  <c r="N40" i="4" s="1"/>
  <c r="O40" i="4" a="1"/>
  <c r="O40" i="4" s="1"/>
  <c r="G41" i="4" a="1"/>
  <c r="G41" i="4" s="1"/>
  <c r="H41" i="4" a="1"/>
  <c r="H41" i="4" s="1"/>
  <c r="I41" i="4" a="1"/>
  <c r="I41" i="4" s="1"/>
  <c r="J41" i="4" a="1"/>
  <c r="J41" i="4" s="1"/>
  <c r="K41" i="4" a="1"/>
  <c r="K41" i="4" s="1"/>
  <c r="L41" i="4" a="1"/>
  <c r="L41" i="4" s="1"/>
  <c r="M41" i="4" a="1"/>
  <c r="M41" i="4" s="1"/>
  <c r="N41" i="4" a="1"/>
  <c r="N41" i="4" s="1"/>
  <c r="O41" i="4" a="1"/>
  <c r="O41" i="4" s="1"/>
  <c r="G42" i="4" a="1"/>
  <c r="G42" i="4" s="1"/>
  <c r="H42" i="4" a="1"/>
  <c r="H42" i="4" s="1"/>
  <c r="I42" i="4" a="1"/>
  <c r="I42" i="4" s="1"/>
  <c r="J42" i="4" a="1"/>
  <c r="J42" i="4" s="1"/>
  <c r="K42" i="4" a="1"/>
  <c r="K42" i="4" s="1"/>
  <c r="L42" i="4" a="1"/>
  <c r="L42" i="4" s="1"/>
  <c r="M42" i="4" a="1"/>
  <c r="M42" i="4" s="1"/>
  <c r="N42" i="4" a="1"/>
  <c r="N42" i="4" s="1"/>
  <c r="O42" i="4" a="1"/>
  <c r="O42" i="4" s="1"/>
  <c r="G43" i="4" a="1"/>
  <c r="G43" i="4" s="1"/>
  <c r="H43" i="4" a="1"/>
  <c r="H43" i="4" s="1"/>
  <c r="I43" i="4" a="1"/>
  <c r="I43" i="4" s="1"/>
  <c r="J43" i="4" a="1"/>
  <c r="J43" i="4" s="1"/>
  <c r="K43" i="4" a="1"/>
  <c r="K43" i="4" s="1"/>
  <c r="L43" i="4" a="1"/>
  <c r="L43" i="4" s="1"/>
  <c r="M43" i="4" a="1"/>
  <c r="M43" i="4" s="1"/>
  <c r="N43" i="4" a="1"/>
  <c r="N43" i="4" s="1"/>
  <c r="O43" i="4" a="1"/>
  <c r="O43" i="4" s="1"/>
  <c r="G44" i="4" a="1"/>
  <c r="G44" i="4" s="1"/>
  <c r="H44" i="4" a="1"/>
  <c r="H44" i="4" s="1"/>
  <c r="I44" i="4" a="1"/>
  <c r="I44" i="4" s="1"/>
  <c r="J44" i="4" a="1"/>
  <c r="J44" i="4" s="1"/>
  <c r="K44" i="4" a="1"/>
  <c r="K44" i="4" s="1"/>
  <c r="L44" i="4" a="1"/>
  <c r="L44" i="4" s="1"/>
  <c r="M44" i="4" a="1"/>
  <c r="M44" i="4" s="1"/>
  <c r="N44" i="4" a="1"/>
  <c r="N44" i="4" s="1"/>
  <c r="O44" i="4" a="1"/>
  <c r="O44" i="4" s="1"/>
  <c r="G45" i="4" a="1"/>
  <c r="G45" i="4" s="1"/>
  <c r="H45" i="4" a="1"/>
  <c r="H45" i="4" s="1"/>
  <c r="I45" i="4" a="1"/>
  <c r="I45" i="4" s="1"/>
  <c r="J45" i="4" a="1"/>
  <c r="J45" i="4" s="1"/>
  <c r="K45" i="4" a="1"/>
  <c r="K45" i="4" s="1"/>
  <c r="L45" i="4" a="1"/>
  <c r="L45" i="4" s="1"/>
  <c r="M45" i="4" a="1"/>
  <c r="M45" i="4" s="1"/>
  <c r="N45" i="4" a="1"/>
  <c r="N45" i="4" s="1"/>
  <c r="O45" i="4" a="1"/>
  <c r="O45" i="4" s="1"/>
  <c r="G46" i="4" a="1"/>
  <c r="G46" i="4" s="1"/>
  <c r="H46" i="4" a="1"/>
  <c r="H46" i="4" s="1"/>
  <c r="I46" i="4" a="1"/>
  <c r="I46" i="4" s="1"/>
  <c r="J46" i="4" a="1"/>
  <c r="J46" i="4" s="1"/>
  <c r="K46" i="4" a="1"/>
  <c r="K46" i="4" s="1"/>
  <c r="L46" i="4" a="1"/>
  <c r="L46" i="4" s="1"/>
  <c r="M46" i="4" a="1"/>
  <c r="M46" i="4" s="1"/>
  <c r="N46" i="4" a="1"/>
  <c r="N46" i="4" s="1"/>
  <c r="O46" i="4" a="1"/>
  <c r="O46" i="4" s="1"/>
  <c r="G47" i="4" a="1"/>
  <c r="G47" i="4" s="1"/>
  <c r="H47" i="4" a="1"/>
  <c r="H47" i="4" s="1"/>
  <c r="I47" i="4" a="1"/>
  <c r="I47" i="4" s="1"/>
  <c r="J47" i="4" a="1"/>
  <c r="J47" i="4" s="1"/>
  <c r="K47" i="4" a="1"/>
  <c r="K47" i="4" s="1"/>
  <c r="L47" i="4" a="1"/>
  <c r="L47" i="4" s="1"/>
  <c r="M47" i="4" a="1"/>
  <c r="M47" i="4" s="1"/>
  <c r="N47" i="4" a="1"/>
  <c r="N47" i="4" s="1"/>
  <c r="O47" i="4" a="1"/>
  <c r="O47" i="4" s="1"/>
  <c r="G48" i="4" a="1"/>
  <c r="G48" i="4" s="1"/>
  <c r="H48" i="4" a="1"/>
  <c r="H48" i="4" s="1"/>
  <c r="I48" i="4" a="1"/>
  <c r="I48" i="4" s="1"/>
  <c r="J48" i="4" a="1"/>
  <c r="J48" i="4" s="1"/>
  <c r="K48" i="4" a="1"/>
  <c r="K48" i="4" s="1"/>
  <c r="L48" i="4" a="1"/>
  <c r="L48" i="4" s="1"/>
  <c r="M48" i="4" a="1"/>
  <c r="M48" i="4" s="1"/>
  <c r="N48" i="4" a="1"/>
  <c r="N48" i="4" s="1"/>
  <c r="O48" i="4" a="1"/>
  <c r="O48" i="4" s="1"/>
  <c r="G49" i="4" a="1"/>
  <c r="G49" i="4" s="1"/>
  <c r="H49" i="4" a="1"/>
  <c r="H49" i="4" s="1"/>
  <c r="I49" i="4" a="1"/>
  <c r="I49" i="4" s="1"/>
  <c r="J49" i="4" a="1"/>
  <c r="J49" i="4" s="1"/>
  <c r="K49" i="4" a="1"/>
  <c r="K49" i="4" s="1"/>
  <c r="L49" i="4" a="1"/>
  <c r="L49" i="4" s="1"/>
  <c r="M49" i="4" a="1"/>
  <c r="M49" i="4" s="1"/>
  <c r="N49" i="4" a="1"/>
  <c r="N49" i="4" s="1"/>
  <c r="O49" i="4" a="1"/>
  <c r="O49" i="4" s="1"/>
  <c r="G50" i="4" a="1"/>
  <c r="G50" i="4" s="1"/>
  <c r="H50" i="4" a="1"/>
  <c r="H50" i="4" s="1"/>
  <c r="I50" i="4" a="1"/>
  <c r="I50" i="4" s="1"/>
  <c r="J50" i="4" a="1"/>
  <c r="J50" i="4" s="1"/>
  <c r="K50" i="4" a="1"/>
  <c r="K50" i="4" s="1"/>
  <c r="L50" i="4" a="1"/>
  <c r="L50" i="4" s="1"/>
  <c r="M50" i="4" a="1"/>
  <c r="M50" i="4" s="1"/>
  <c r="N50" i="4" a="1"/>
  <c r="N50" i="4" s="1"/>
  <c r="O50" i="4" a="1"/>
  <c r="O50" i="4" s="1"/>
  <c r="G51" i="4" a="1"/>
  <c r="G51" i="4" s="1"/>
  <c r="H51" i="4" a="1"/>
  <c r="H51" i="4" s="1"/>
  <c r="I51" i="4" a="1"/>
  <c r="I51" i="4" s="1"/>
  <c r="J51" i="4" a="1"/>
  <c r="J51" i="4" s="1"/>
  <c r="K51" i="4" a="1"/>
  <c r="K51" i="4" s="1"/>
  <c r="L51" i="4" a="1"/>
  <c r="L51" i="4" s="1"/>
  <c r="M51" i="4" a="1"/>
  <c r="M51" i="4" s="1"/>
  <c r="N51" i="4" a="1"/>
  <c r="N51" i="4" s="1"/>
  <c r="O51" i="4" a="1"/>
  <c r="O51" i="4" s="1"/>
  <c r="G52" i="4" a="1"/>
  <c r="G52" i="4" s="1"/>
  <c r="H52" i="4" a="1"/>
  <c r="H52" i="4" s="1"/>
  <c r="I52" i="4" a="1"/>
  <c r="I52" i="4" s="1"/>
  <c r="J52" i="4" a="1"/>
  <c r="J52" i="4" s="1"/>
  <c r="K52" i="4" a="1"/>
  <c r="K52" i="4" s="1"/>
  <c r="L52" i="4" a="1"/>
  <c r="L52" i="4" s="1"/>
  <c r="M52" i="4" a="1"/>
  <c r="M52" i="4" s="1"/>
  <c r="N52" i="4" a="1"/>
  <c r="N52" i="4" s="1"/>
  <c r="O52" i="4" a="1"/>
  <c r="O52" i="4" s="1"/>
  <c r="G53" i="4" a="1"/>
  <c r="G53" i="4" s="1"/>
  <c r="H53" i="4" a="1"/>
  <c r="H53" i="4" s="1"/>
  <c r="I53" i="4" a="1"/>
  <c r="I53" i="4" s="1"/>
  <c r="J53" i="4" a="1"/>
  <c r="J53" i="4" s="1"/>
  <c r="K53" i="4" a="1"/>
  <c r="K53" i="4" s="1"/>
  <c r="L53" i="4" a="1"/>
  <c r="L53" i="4" s="1"/>
  <c r="M53" i="4" a="1"/>
  <c r="M53" i="4" s="1"/>
  <c r="N53" i="4" a="1"/>
  <c r="N53" i="4" s="1"/>
  <c r="O53" i="4" a="1"/>
  <c r="O53" i="4" s="1"/>
  <c r="G54" i="4" a="1"/>
  <c r="G54" i="4" s="1"/>
  <c r="H54" i="4" a="1"/>
  <c r="H54" i="4" s="1"/>
  <c r="I54" i="4" a="1"/>
  <c r="I54" i="4" s="1"/>
  <c r="J54" i="4" a="1"/>
  <c r="J54" i="4" s="1"/>
  <c r="K54" i="4" a="1"/>
  <c r="K54" i="4" s="1"/>
  <c r="L54" i="4" a="1"/>
  <c r="L54" i="4" s="1"/>
  <c r="M54" i="4" a="1"/>
  <c r="M54" i="4" s="1"/>
  <c r="N54" i="4" a="1"/>
  <c r="N54" i="4" s="1"/>
  <c r="O54" i="4" a="1"/>
  <c r="O54" i="4" s="1"/>
  <c r="G55" i="4" a="1"/>
  <c r="G55" i="4" s="1"/>
  <c r="H55" i="4" a="1"/>
  <c r="H55" i="4" s="1"/>
  <c r="I55" i="4" a="1"/>
  <c r="I55" i="4" s="1"/>
  <c r="J55" i="4" a="1"/>
  <c r="J55" i="4" s="1"/>
  <c r="K55" i="4" a="1"/>
  <c r="K55" i="4" s="1"/>
  <c r="L55" i="4" a="1"/>
  <c r="L55" i="4" s="1"/>
  <c r="M55" i="4" a="1"/>
  <c r="M55" i="4" s="1"/>
  <c r="N55" i="4" a="1"/>
  <c r="N55" i="4" s="1"/>
  <c r="O55" i="4" a="1"/>
  <c r="O55" i="4" s="1"/>
  <c r="G56" i="4" a="1"/>
  <c r="G56" i="4" s="1"/>
  <c r="H56" i="4" a="1"/>
  <c r="H56" i="4" s="1"/>
  <c r="I56" i="4" a="1"/>
  <c r="I56" i="4" s="1"/>
  <c r="J56" i="4" a="1"/>
  <c r="J56" i="4" s="1"/>
  <c r="K56" i="4" a="1"/>
  <c r="K56" i="4" s="1"/>
  <c r="L56" i="4" a="1"/>
  <c r="L56" i="4" s="1"/>
  <c r="M56" i="4" a="1"/>
  <c r="M56" i="4" s="1"/>
  <c r="N56" i="4" a="1"/>
  <c r="N56" i="4" s="1"/>
  <c r="O56" i="4" a="1"/>
  <c r="O56" i="4" s="1"/>
  <c r="G57" i="4" a="1"/>
  <c r="G57" i="4" s="1"/>
  <c r="H57" i="4" a="1"/>
  <c r="H57" i="4" s="1"/>
  <c r="I57" i="4" a="1"/>
  <c r="I57" i="4" s="1"/>
  <c r="J57" i="4" a="1"/>
  <c r="J57" i="4" s="1"/>
  <c r="K57" i="4" a="1"/>
  <c r="K57" i="4" s="1"/>
  <c r="L57" i="4" a="1"/>
  <c r="L57" i="4" s="1"/>
  <c r="M57" i="4" a="1"/>
  <c r="M57" i="4" s="1"/>
  <c r="N57" i="4" a="1"/>
  <c r="N57" i="4" s="1"/>
  <c r="O57" i="4" a="1"/>
  <c r="O57" i="4" s="1"/>
  <c r="G58" i="4" a="1"/>
  <c r="G58" i="4" s="1"/>
  <c r="H58" i="4" a="1"/>
  <c r="H58" i="4" s="1"/>
  <c r="I58" i="4" a="1"/>
  <c r="I58" i="4" s="1"/>
  <c r="J58" i="4" a="1"/>
  <c r="J58" i="4" s="1"/>
  <c r="K58" i="4" a="1"/>
  <c r="K58" i="4" s="1"/>
  <c r="L58" i="4" a="1"/>
  <c r="L58" i="4" s="1"/>
  <c r="M58" i="4" a="1"/>
  <c r="M58" i="4" s="1"/>
  <c r="N58" i="4" a="1"/>
  <c r="N58" i="4" s="1"/>
  <c r="O58" i="4" a="1"/>
  <c r="O58" i="4" s="1"/>
  <c r="G59" i="4" a="1"/>
  <c r="G59" i="4" s="1"/>
  <c r="H59" i="4" a="1"/>
  <c r="H59" i="4" s="1"/>
  <c r="I59" i="4" a="1"/>
  <c r="I59" i="4" s="1"/>
  <c r="J59" i="4" a="1"/>
  <c r="J59" i="4" s="1"/>
  <c r="K59" i="4" a="1"/>
  <c r="K59" i="4" s="1"/>
  <c r="L59" i="4" a="1"/>
  <c r="L59" i="4" s="1"/>
  <c r="M59" i="4" a="1"/>
  <c r="M59" i="4" s="1"/>
  <c r="N59" i="4" a="1"/>
  <c r="N59" i="4" s="1"/>
  <c r="O59" i="4" a="1"/>
  <c r="O59" i="4" s="1"/>
  <c r="G60" i="4" a="1"/>
  <c r="G60" i="4" s="1"/>
  <c r="H60" i="4" a="1"/>
  <c r="H60" i="4" s="1"/>
  <c r="I60" i="4" a="1"/>
  <c r="I60" i="4" s="1"/>
  <c r="J60" i="4" a="1"/>
  <c r="J60" i="4" s="1"/>
  <c r="K60" i="4" a="1"/>
  <c r="K60" i="4" s="1"/>
  <c r="L60" i="4" a="1"/>
  <c r="L60" i="4" s="1"/>
  <c r="M60" i="4" a="1"/>
  <c r="M60" i="4" s="1"/>
  <c r="N60" i="4" a="1"/>
  <c r="N60" i="4" s="1"/>
  <c r="O60" i="4" a="1"/>
  <c r="O60" i="4" s="1"/>
  <c r="G61" i="4" a="1"/>
  <c r="G61" i="4" s="1"/>
  <c r="H61" i="4" a="1"/>
  <c r="H61" i="4" s="1"/>
  <c r="I61" i="4" a="1"/>
  <c r="I61" i="4" s="1"/>
  <c r="J61" i="4" a="1"/>
  <c r="J61" i="4" s="1"/>
  <c r="K61" i="4" a="1"/>
  <c r="K61" i="4" s="1"/>
  <c r="L61" i="4" a="1"/>
  <c r="L61" i="4" s="1"/>
  <c r="M61" i="4" a="1"/>
  <c r="M61" i="4" s="1"/>
  <c r="N61" i="4" a="1"/>
  <c r="N61" i="4" s="1"/>
  <c r="O61" i="4" a="1"/>
  <c r="O61" i="4" s="1"/>
  <c r="G62" i="4" a="1"/>
  <c r="G62" i="4" s="1"/>
  <c r="H62" i="4" a="1"/>
  <c r="H62" i="4" s="1"/>
  <c r="I62" i="4" a="1"/>
  <c r="I62" i="4" s="1"/>
  <c r="J62" i="4" a="1"/>
  <c r="J62" i="4" s="1"/>
  <c r="K62" i="4" a="1"/>
  <c r="K62" i="4" s="1"/>
  <c r="L62" i="4" a="1"/>
  <c r="L62" i="4" s="1"/>
  <c r="M62" i="4" a="1"/>
  <c r="M62" i="4" s="1"/>
  <c r="N62" i="4" a="1"/>
  <c r="N62" i="4" s="1"/>
  <c r="O62" i="4" a="1"/>
  <c r="O62" i="4" s="1"/>
  <c r="G63" i="4" a="1"/>
  <c r="G63" i="4" s="1"/>
  <c r="H63" i="4" a="1"/>
  <c r="H63" i="4" s="1"/>
  <c r="I63" i="4" a="1"/>
  <c r="I63" i="4" s="1"/>
  <c r="J63" i="4" a="1"/>
  <c r="J63" i="4" s="1"/>
  <c r="K63" i="4" a="1"/>
  <c r="K63" i="4" s="1"/>
  <c r="L63" i="4" a="1"/>
  <c r="L63" i="4" s="1"/>
  <c r="M63" i="4" a="1"/>
  <c r="M63" i="4" s="1"/>
  <c r="N63" i="4" a="1"/>
  <c r="N63" i="4" s="1"/>
  <c r="O63" i="4" a="1"/>
  <c r="O63" i="4" s="1"/>
  <c r="G64" i="4" a="1"/>
  <c r="G64" i="4" s="1"/>
  <c r="H64" i="4" a="1"/>
  <c r="H64" i="4" s="1"/>
  <c r="I64" i="4" a="1"/>
  <c r="I64" i="4" s="1"/>
  <c r="J64" i="4" a="1"/>
  <c r="J64" i="4" s="1"/>
  <c r="K64" i="4" a="1"/>
  <c r="K64" i="4" s="1"/>
  <c r="L64" i="4" a="1"/>
  <c r="L64" i="4" s="1"/>
  <c r="M64" i="4" a="1"/>
  <c r="M64" i="4" s="1"/>
  <c r="N64" i="4" a="1"/>
  <c r="N64" i="4" s="1"/>
  <c r="O64" i="4" a="1"/>
  <c r="O64" i="4" s="1"/>
  <c r="G65" i="4" a="1"/>
  <c r="G65" i="4" s="1"/>
  <c r="H65" i="4" a="1"/>
  <c r="H65" i="4" s="1"/>
  <c r="I65" i="4" a="1"/>
  <c r="I65" i="4" s="1"/>
  <c r="J65" i="4" a="1"/>
  <c r="J65" i="4" s="1"/>
  <c r="K65" i="4" a="1"/>
  <c r="K65" i="4" s="1"/>
  <c r="L65" i="4" a="1"/>
  <c r="L65" i="4" s="1"/>
  <c r="M65" i="4" a="1"/>
  <c r="M65" i="4" s="1"/>
  <c r="N65" i="4" a="1"/>
  <c r="N65" i="4" s="1"/>
  <c r="O65" i="4" a="1"/>
  <c r="O65" i="4" s="1"/>
  <c r="G66" i="4" a="1"/>
  <c r="G66" i="4" s="1"/>
  <c r="H66" i="4" a="1"/>
  <c r="H66" i="4" s="1"/>
  <c r="I66" i="4" a="1"/>
  <c r="I66" i="4" s="1"/>
  <c r="J66" i="4" a="1"/>
  <c r="J66" i="4" s="1"/>
  <c r="K66" i="4" a="1"/>
  <c r="K66" i="4" s="1"/>
  <c r="L66" i="4" a="1"/>
  <c r="L66" i="4" s="1"/>
  <c r="M66" i="4" a="1"/>
  <c r="M66" i="4" s="1"/>
  <c r="N66" i="4" a="1"/>
  <c r="N66" i="4" s="1"/>
  <c r="O66" i="4" a="1"/>
  <c r="O66" i="4" s="1"/>
  <c r="G67" i="4" a="1"/>
  <c r="G67" i="4" s="1"/>
  <c r="H67" i="4" a="1"/>
  <c r="H67" i="4" s="1"/>
  <c r="I67" i="4" a="1"/>
  <c r="I67" i="4" s="1"/>
  <c r="J67" i="4" a="1"/>
  <c r="J67" i="4" s="1"/>
  <c r="K67" i="4" a="1"/>
  <c r="K67" i="4" s="1"/>
  <c r="L67" i="4" a="1"/>
  <c r="L67" i="4" s="1"/>
  <c r="M67" i="4" a="1"/>
  <c r="M67" i="4" s="1"/>
  <c r="N67" i="4" a="1"/>
  <c r="N67" i="4" s="1"/>
  <c r="O67" i="4" a="1"/>
  <c r="O67" i="4" s="1"/>
  <c r="G68" i="4" a="1"/>
  <c r="G68" i="4" s="1"/>
  <c r="H68" i="4" a="1"/>
  <c r="H68" i="4" s="1"/>
  <c r="I68" i="4" a="1"/>
  <c r="I68" i="4" s="1"/>
  <c r="J68" i="4" a="1"/>
  <c r="J68" i="4" s="1"/>
  <c r="K68" i="4" a="1"/>
  <c r="K68" i="4" s="1"/>
  <c r="L68" i="4" a="1"/>
  <c r="L68" i="4" s="1"/>
  <c r="M68" i="4" a="1"/>
  <c r="M68" i="4" s="1"/>
  <c r="N68" i="4" a="1"/>
  <c r="N68" i="4" s="1"/>
  <c r="O68" i="4" a="1"/>
  <c r="O68" i="4" s="1"/>
  <c r="G69" i="4" a="1"/>
  <c r="G69" i="4" s="1"/>
  <c r="H69" i="4" a="1"/>
  <c r="H69" i="4" s="1"/>
  <c r="I69" i="4" a="1"/>
  <c r="I69" i="4" s="1"/>
  <c r="J69" i="4" a="1"/>
  <c r="J69" i="4" s="1"/>
  <c r="K69" i="4" a="1"/>
  <c r="K69" i="4" s="1"/>
  <c r="L69" i="4" a="1"/>
  <c r="L69" i="4" s="1"/>
  <c r="M69" i="4" a="1"/>
  <c r="M69" i="4" s="1"/>
  <c r="N69" i="4" a="1"/>
  <c r="N69" i="4" s="1"/>
  <c r="O69" i="4" a="1"/>
  <c r="O69" i="4" s="1"/>
  <c r="G70" i="4" a="1"/>
  <c r="G70" i="4" s="1"/>
  <c r="H70" i="4" a="1"/>
  <c r="H70" i="4" s="1"/>
  <c r="I70" i="4" a="1"/>
  <c r="I70" i="4" s="1"/>
  <c r="J70" i="4" a="1"/>
  <c r="J70" i="4" s="1"/>
  <c r="K70" i="4" a="1"/>
  <c r="K70" i="4" s="1"/>
  <c r="L70" i="4" a="1"/>
  <c r="L70" i="4" s="1"/>
  <c r="M70" i="4" a="1"/>
  <c r="M70" i="4" s="1"/>
  <c r="N70" i="4" a="1"/>
  <c r="N70" i="4" s="1"/>
  <c r="O70" i="4" a="1"/>
  <c r="O70" i="4" s="1"/>
  <c r="G71" i="4" a="1"/>
  <c r="G71" i="4" s="1"/>
  <c r="H71" i="4" a="1"/>
  <c r="H71" i="4" s="1"/>
  <c r="I71" i="4" a="1"/>
  <c r="I71" i="4" s="1"/>
  <c r="J71" i="4" a="1"/>
  <c r="J71" i="4" s="1"/>
  <c r="K71" i="4" a="1"/>
  <c r="K71" i="4" s="1"/>
  <c r="L71" i="4" a="1"/>
  <c r="L71" i="4" s="1"/>
  <c r="M71" i="4" a="1"/>
  <c r="M71" i="4" s="1"/>
  <c r="N71" i="4" a="1"/>
  <c r="N71" i="4" s="1"/>
  <c r="O71" i="4" a="1"/>
  <c r="O71" i="4" s="1"/>
  <c r="G72" i="4" a="1"/>
  <c r="G72" i="4" s="1"/>
  <c r="H72" i="4" a="1"/>
  <c r="H72" i="4" s="1"/>
  <c r="I72" i="4" a="1"/>
  <c r="I72" i="4" s="1"/>
  <c r="J72" i="4" a="1"/>
  <c r="J72" i="4" s="1"/>
  <c r="K72" i="4" a="1"/>
  <c r="K72" i="4" s="1"/>
  <c r="L72" i="4" a="1"/>
  <c r="L72" i="4" s="1"/>
  <c r="M72" i="4" a="1"/>
  <c r="M72" i="4" s="1"/>
  <c r="N72" i="4" a="1"/>
  <c r="N72" i="4" s="1"/>
  <c r="O72" i="4" a="1"/>
  <c r="O72" i="4" s="1"/>
  <c r="G73" i="4" a="1"/>
  <c r="G73" i="4" s="1"/>
  <c r="H73" i="4" a="1"/>
  <c r="H73" i="4" s="1"/>
  <c r="I73" i="4" a="1"/>
  <c r="I73" i="4" s="1"/>
  <c r="J73" i="4" a="1"/>
  <c r="J73" i="4" s="1"/>
  <c r="K73" i="4" a="1"/>
  <c r="K73" i="4" s="1"/>
  <c r="L73" i="4" a="1"/>
  <c r="L73" i="4" s="1"/>
  <c r="M73" i="4" a="1"/>
  <c r="M73" i="4" s="1"/>
  <c r="N73" i="4" a="1"/>
  <c r="N73" i="4" s="1"/>
  <c r="O73" i="4" a="1"/>
  <c r="O73" i="4" s="1"/>
  <c r="G74" i="4" a="1"/>
  <c r="G74" i="4" s="1"/>
  <c r="H74" i="4" a="1"/>
  <c r="H74" i="4" s="1"/>
  <c r="I74" i="4" a="1"/>
  <c r="I74" i="4" s="1"/>
  <c r="J74" i="4" a="1"/>
  <c r="J74" i="4" s="1"/>
  <c r="K74" i="4" a="1"/>
  <c r="K74" i="4" s="1"/>
  <c r="L74" i="4" a="1"/>
  <c r="L74" i="4" s="1"/>
  <c r="M74" i="4" a="1"/>
  <c r="M74" i="4" s="1"/>
  <c r="N74" i="4" a="1"/>
  <c r="N74" i="4" s="1"/>
  <c r="O74" i="4" a="1"/>
  <c r="O74" i="4" s="1"/>
  <c r="G75" i="4" a="1"/>
  <c r="G75" i="4" s="1"/>
  <c r="H75" i="4" a="1"/>
  <c r="H75" i="4" s="1"/>
  <c r="I75" i="4" a="1"/>
  <c r="I75" i="4" s="1"/>
  <c r="J75" i="4" a="1"/>
  <c r="J75" i="4" s="1"/>
  <c r="K75" i="4" a="1"/>
  <c r="K75" i="4" s="1"/>
  <c r="L75" i="4" a="1"/>
  <c r="L75" i="4" s="1"/>
  <c r="M75" i="4" a="1"/>
  <c r="M75" i="4" s="1"/>
  <c r="N75" i="4" a="1"/>
  <c r="N75" i="4" s="1"/>
  <c r="O75" i="4" a="1"/>
  <c r="O75" i="4" s="1"/>
  <c r="G76" i="4" a="1"/>
  <c r="G76" i="4" s="1"/>
  <c r="H76" i="4" a="1"/>
  <c r="H76" i="4" s="1"/>
  <c r="I76" i="4" a="1"/>
  <c r="I76" i="4" s="1"/>
  <c r="J76" i="4" a="1"/>
  <c r="J76" i="4" s="1"/>
  <c r="K76" i="4" a="1"/>
  <c r="K76" i="4" s="1"/>
  <c r="L76" i="4" a="1"/>
  <c r="L76" i="4" s="1"/>
  <c r="M76" i="4" a="1"/>
  <c r="M76" i="4" s="1"/>
  <c r="N76" i="4" a="1"/>
  <c r="N76" i="4" s="1"/>
  <c r="O76" i="4" a="1"/>
  <c r="O76" i="4" s="1"/>
  <c r="F36" i="4" a="1"/>
  <c r="F36" i="4" s="1"/>
  <c r="F37" i="4" a="1"/>
  <c r="F37" i="4" s="1"/>
  <c r="F38" i="4" a="1"/>
  <c r="F38" i="4" s="1"/>
  <c r="F39" i="4" a="1"/>
  <c r="F39" i="4" s="1"/>
  <c r="F40" i="4" a="1"/>
  <c r="F40" i="4" s="1"/>
  <c r="F41" i="4" a="1"/>
  <c r="F41" i="4" s="1"/>
  <c r="E41" i="4" s="1"/>
  <c r="F42" i="4" a="1"/>
  <c r="F42" i="4" s="1"/>
  <c r="F43" i="4" a="1"/>
  <c r="F43" i="4" s="1"/>
  <c r="F44" i="4" a="1"/>
  <c r="F44" i="4" s="1"/>
  <c r="F45" i="4" a="1"/>
  <c r="F45" i="4" s="1"/>
  <c r="F46" i="4" a="1"/>
  <c r="F46" i="4" s="1"/>
  <c r="F47" i="4" a="1"/>
  <c r="F47" i="4" s="1"/>
  <c r="F48" i="4" a="1"/>
  <c r="F48" i="4" s="1"/>
  <c r="F49" i="4" a="1"/>
  <c r="F49" i="4" s="1"/>
  <c r="E49" i="4" s="1"/>
  <c r="F50" i="4" a="1"/>
  <c r="F50" i="4" s="1"/>
  <c r="F51" i="4" a="1"/>
  <c r="F51" i="4" s="1"/>
  <c r="F52" i="4" a="1"/>
  <c r="F52" i="4" s="1"/>
  <c r="F53" i="4" a="1"/>
  <c r="F53" i="4" s="1"/>
  <c r="F54" i="4" a="1"/>
  <c r="F54" i="4" s="1"/>
  <c r="F55" i="4" a="1"/>
  <c r="F55" i="4" s="1"/>
  <c r="F56" i="4" a="1"/>
  <c r="F56" i="4" s="1"/>
  <c r="F57" i="4" a="1"/>
  <c r="F57" i="4" s="1"/>
  <c r="F58" i="4" a="1"/>
  <c r="F58" i="4" s="1"/>
  <c r="F59" i="4" a="1"/>
  <c r="F59" i="4" s="1"/>
  <c r="F60" i="4" a="1"/>
  <c r="F60" i="4" s="1"/>
  <c r="F61" i="4" a="1"/>
  <c r="F61" i="4" s="1"/>
  <c r="F62" i="4" a="1"/>
  <c r="F62" i="4" s="1"/>
  <c r="F63" i="4" a="1"/>
  <c r="F63" i="4" s="1"/>
  <c r="F64" i="4" a="1"/>
  <c r="F64" i="4" s="1"/>
  <c r="F65" i="4" a="1"/>
  <c r="F65" i="4" s="1"/>
  <c r="F66" i="4" a="1"/>
  <c r="F66" i="4" s="1"/>
  <c r="F67" i="4" a="1"/>
  <c r="F67" i="4" s="1"/>
  <c r="F68" i="4" a="1"/>
  <c r="F68" i="4" s="1"/>
  <c r="F69" i="4" a="1"/>
  <c r="F69" i="4" s="1"/>
  <c r="F70" i="4" a="1"/>
  <c r="F70" i="4" s="1"/>
  <c r="F71" i="4" a="1"/>
  <c r="F71" i="4" s="1"/>
  <c r="F72" i="4" a="1"/>
  <c r="F72" i="4" s="1"/>
  <c r="F73" i="4" a="1"/>
  <c r="F73" i="4" s="1"/>
  <c r="F74" i="4" a="1"/>
  <c r="F74" i="4" s="1"/>
  <c r="F75" i="4" a="1"/>
  <c r="F75" i="4" s="1"/>
  <c r="F76" i="4" a="1"/>
  <c r="F76" i="4" s="1"/>
  <c r="F35" i="4" a="1"/>
  <c r="F35" i="4" s="1"/>
  <c r="E56" i="4" l="1"/>
  <c r="E48" i="4"/>
  <c r="E40" i="4"/>
  <c r="E55" i="4"/>
  <c r="E47" i="4"/>
  <c r="E39" i="4"/>
  <c r="E54" i="4"/>
  <c r="E46" i="4"/>
  <c r="E38" i="4"/>
  <c r="E35" i="4"/>
  <c r="E45" i="4"/>
  <c r="E37" i="4"/>
  <c r="E68" i="4"/>
  <c r="E60" i="4"/>
  <c r="E52" i="4"/>
  <c r="E44" i="4"/>
  <c r="E36" i="4"/>
  <c r="E51" i="4"/>
  <c r="E43" i="4"/>
  <c r="E50" i="4"/>
  <c r="E42" i="4"/>
  <c r="E76" i="4"/>
  <c r="E66" i="4"/>
  <c r="E73" i="4"/>
  <c r="E65" i="4"/>
  <c r="E57" i="4"/>
  <c r="E72" i="4"/>
  <c r="E63" i="4"/>
  <c r="E64" i="4"/>
  <c r="E62" i="4"/>
  <c r="E59" i="4"/>
  <c r="E71" i="4"/>
  <c r="E70" i="4"/>
  <c r="E69" i="4"/>
  <c r="E61" i="4"/>
  <c r="E53" i="4"/>
  <c r="E67" i="4"/>
  <c r="E75" i="4"/>
  <c r="E74" i="4"/>
  <c r="E58" i="4"/>
  <c r="B35" i="4" a="1"/>
  <c r="AR19" i="4" l="1"/>
  <c r="BZ23" i="4"/>
  <c r="BN21" i="4"/>
  <c r="R22" i="4"/>
  <c r="AX22" i="4"/>
  <c r="AS23" i="4"/>
  <c r="BA24" i="4"/>
  <c r="BP25" i="4"/>
  <c r="AP22" i="4"/>
  <c r="AK25" i="4"/>
  <c r="BO25" i="4"/>
  <c r="AO22" i="4"/>
  <c r="BN24" i="4"/>
  <c r="AI25" i="4"/>
  <c r="BZ22" i="4"/>
  <c r="AQ25" i="4"/>
  <c r="BY23" i="4"/>
  <c r="BM21" i="4"/>
  <c r="AN24" i="4"/>
  <c r="BF24" i="4"/>
  <c r="AG24" i="4"/>
  <c r="AA19" i="4"/>
  <c r="R17" i="4"/>
  <c r="AR22" i="4"/>
  <c r="AI24" i="4"/>
  <c r="BO16" i="4"/>
  <c r="AG20" i="4"/>
  <c r="AN20" i="4"/>
  <c r="BA25" i="4"/>
  <c r="AC22" i="4"/>
  <c r="BZ18" i="4"/>
  <c r="AZ25" i="4"/>
  <c r="CC21" i="4"/>
  <c r="AR24" i="4"/>
  <c r="AH24" i="4"/>
  <c r="V24" i="4"/>
  <c r="CG24" i="4"/>
  <c r="BJ22" i="4"/>
  <c r="AH25" i="4"/>
  <c r="BN23" i="4"/>
  <c r="BV25" i="4"/>
  <c r="BX23" i="4"/>
  <c r="BR22" i="4"/>
  <c r="BX25" i="4"/>
  <c r="AE18" i="4"/>
  <c r="V16" i="4"/>
  <c r="AV21" i="4"/>
  <c r="AM23" i="4"/>
  <c r="AL21" i="4"/>
  <c r="AK19" i="4"/>
  <c r="BL16" i="4"/>
  <c r="BH17" i="4"/>
  <c r="BD18" i="4"/>
  <c r="AZ19" i="4"/>
  <c r="AV20" i="4"/>
  <c r="AR21" i="4"/>
  <c r="AN22" i="4"/>
  <c r="AJ23" i="4"/>
  <c r="BE16" i="4"/>
  <c r="BA17" i="4"/>
  <c r="AW18" i="4"/>
  <c r="AS19" i="4"/>
  <c r="AO20" i="4"/>
  <c r="AK21" i="4"/>
  <c r="BN16" i="4"/>
  <c r="BJ17" i="4"/>
  <c r="BF18" i="4"/>
  <c r="BB19" i="4"/>
  <c r="AX20" i="4"/>
  <c r="AT21" i="4"/>
  <c r="BW16" i="4"/>
  <c r="BS17" i="4"/>
  <c r="BO18" i="4"/>
  <c r="BK19" i="4"/>
  <c r="BG20" i="4"/>
  <c r="BC21" i="4"/>
  <c r="AY22" i="4"/>
  <c r="AU23" i="4"/>
  <c r="AQ24" i="4"/>
  <c r="AM25" i="4"/>
  <c r="BX16" i="4"/>
  <c r="BT17" i="4"/>
  <c r="BP18" i="4"/>
  <c r="BL19" i="4"/>
  <c r="BH20" i="4"/>
  <c r="BD21" i="4"/>
  <c r="AZ22" i="4"/>
  <c r="U16" i="4"/>
  <c r="CG16" i="4"/>
  <c r="CC17" i="4"/>
  <c r="BY18" i="4"/>
  <c r="BU19" i="4"/>
  <c r="BQ20" i="4"/>
  <c r="AD16" i="4"/>
  <c r="Z17" i="4"/>
  <c r="V18" i="4"/>
  <c r="R19" i="4"/>
  <c r="CD19" i="4"/>
  <c r="BZ20" i="4"/>
  <c r="AU16" i="4"/>
  <c r="AQ17" i="4"/>
  <c r="AM18" i="4"/>
  <c r="AI19" i="4"/>
  <c r="AE20" i="4"/>
  <c r="AA21" i="4"/>
  <c r="W22" i="4"/>
  <c r="S23" i="4"/>
  <c r="CE23" i="4"/>
  <c r="CA24" i="4"/>
  <c r="CF25" i="4"/>
  <c r="BB24" i="4"/>
  <c r="BN22" i="4"/>
  <c r="CG25" i="4"/>
  <c r="BE21" i="4"/>
  <c r="AV23" i="4"/>
  <c r="BP24" i="4"/>
  <c r="BS25" i="4"/>
  <c r="R23" i="4"/>
  <c r="BQ24" i="4"/>
  <c r="BU22" i="4"/>
  <c r="AW25" i="4"/>
  <c r="AC24" i="4"/>
  <c r="AV25" i="4"/>
  <c r="AB24" i="4"/>
  <c r="BF22" i="4"/>
  <c r="BT16" i="4"/>
  <c r="BP17" i="4"/>
  <c r="BL18" i="4"/>
  <c r="BH19" i="4"/>
  <c r="BD20" i="4"/>
  <c r="AZ21" i="4"/>
  <c r="AV22" i="4"/>
  <c r="AR23" i="4"/>
  <c r="BM16" i="4"/>
  <c r="BI17" i="4"/>
  <c r="BE18" i="4"/>
  <c r="BA19" i="4"/>
  <c r="AW20" i="4"/>
  <c r="AS21" i="4"/>
  <c r="BV16" i="4"/>
  <c r="BR17" i="4"/>
  <c r="BN18" i="4"/>
  <c r="BJ19" i="4"/>
  <c r="BF20" i="4"/>
  <c r="S16" i="4"/>
  <c r="CE16" i="4"/>
  <c r="CA17" i="4"/>
  <c r="BW18" i="4"/>
  <c r="BS19" i="4"/>
  <c r="BO20" i="4"/>
  <c r="BK21" i="4"/>
  <c r="BG22" i="4"/>
  <c r="BC23" i="4"/>
  <c r="AY24" i="4"/>
  <c r="T16" i="4"/>
  <c r="CF16" i="4"/>
  <c r="CB17" i="4"/>
  <c r="BX18" i="4"/>
  <c r="BT19" i="4"/>
  <c r="BP20" i="4"/>
  <c r="BL21" i="4"/>
  <c r="BH22" i="4"/>
  <c r="AC16" i="4"/>
  <c r="Y17" i="4"/>
  <c r="U18" i="4"/>
  <c r="CG18" i="4"/>
  <c r="CC19" i="4"/>
  <c r="BY20" i="4"/>
  <c r="AL16" i="4"/>
  <c r="AH17" i="4"/>
  <c r="AD18" i="4"/>
  <c r="Z19" i="4"/>
  <c r="V20" i="4"/>
  <c r="R21" i="4"/>
  <c r="BC16" i="4"/>
  <c r="AY17" i="4"/>
  <c r="AU18" i="4"/>
  <c r="AQ19" i="4"/>
  <c r="AM20" i="4"/>
  <c r="AI21" i="4"/>
  <c r="AE22" i="4"/>
  <c r="AA23" i="4"/>
  <c r="W24" i="4"/>
  <c r="Z23" i="4"/>
  <c r="BQ21" i="4"/>
  <c r="BX24" i="4"/>
  <c r="AD23" i="4"/>
  <c r="BD24" i="4"/>
  <c r="BU21" i="4"/>
  <c r="BI23" i="4"/>
  <c r="BZ24" i="4"/>
  <c r="CA25" i="4"/>
  <c r="AW23" i="4"/>
  <c r="U25" i="4"/>
  <c r="AK23" i="4"/>
  <c r="BM25" i="4"/>
  <c r="BI24" i="4"/>
  <c r="BL25" i="4"/>
  <c r="AW24" i="4"/>
  <c r="V23" i="4"/>
  <c r="CB16" i="4"/>
  <c r="BX17" i="4"/>
  <c r="BT18" i="4"/>
  <c r="BP19" i="4"/>
  <c r="BL20" i="4"/>
  <c r="BH21" i="4"/>
  <c r="BD22" i="4"/>
  <c r="AZ23" i="4"/>
  <c r="BU16" i="4"/>
  <c r="BQ17" i="4"/>
  <c r="BM18" i="4"/>
  <c r="BI19" i="4"/>
  <c r="BE20" i="4"/>
  <c r="R16" i="4"/>
  <c r="CD16" i="4"/>
  <c r="BZ17" i="4"/>
  <c r="BV18" i="4"/>
  <c r="BR19" i="4"/>
  <c r="BN20" i="4"/>
  <c r="AA16" i="4"/>
  <c r="W17" i="4"/>
  <c r="S18" i="4"/>
  <c r="CE18" i="4"/>
  <c r="CA19" i="4"/>
  <c r="BW20" i="4"/>
  <c r="BS21" i="4"/>
  <c r="BO22" i="4"/>
  <c r="BK23" i="4"/>
  <c r="BG24" i="4"/>
  <c r="AB16" i="4"/>
  <c r="X17" i="4"/>
  <c r="T18" i="4"/>
  <c r="CF18" i="4"/>
  <c r="CB19" i="4"/>
  <c r="BX20" i="4"/>
  <c r="BT21" i="4"/>
  <c r="BP22" i="4"/>
  <c r="AK16" i="4"/>
  <c r="AG17" i="4"/>
  <c r="AC18" i="4"/>
  <c r="Y19" i="4"/>
  <c r="U20" i="4"/>
  <c r="CG20" i="4"/>
  <c r="AT16" i="4"/>
  <c r="AP17" i="4"/>
  <c r="AL18" i="4"/>
  <c r="AH19" i="4"/>
  <c r="AD20" i="4"/>
  <c r="Z21" i="4"/>
  <c r="BK16" i="4"/>
  <c r="BG17" i="4"/>
  <c r="BC18" i="4"/>
  <c r="AY19" i="4"/>
  <c r="AU20" i="4"/>
  <c r="AQ21" i="4"/>
  <c r="AM22" i="4"/>
  <c r="AI23" i="4"/>
  <c r="AE24" i="4"/>
  <c r="AP24" i="4"/>
  <c r="AG22" i="4"/>
  <c r="AA25" i="4"/>
  <c r="BF23" i="4"/>
  <c r="AB25" i="4"/>
  <c r="U22" i="4"/>
  <c r="BT23" i="4"/>
  <c r="T25" i="4"/>
  <c r="BF21" i="4"/>
  <c r="BJ23" i="4"/>
  <c r="AN25" i="4"/>
  <c r="BL23" i="4"/>
  <c r="CC25" i="4"/>
  <c r="X25" i="4"/>
  <c r="CB25" i="4"/>
  <c r="BR24" i="4"/>
  <c r="BA23" i="4"/>
  <c r="X16" i="4"/>
  <c r="T17" i="4"/>
  <c r="CF17" i="4"/>
  <c r="CB18" i="4"/>
  <c r="BX19" i="4"/>
  <c r="BT20" i="4"/>
  <c r="BP21" i="4"/>
  <c r="BL22" i="4"/>
  <c r="BH23" i="4"/>
  <c r="CC16" i="4"/>
  <c r="BY17" i="4"/>
  <c r="BU18" i="4"/>
  <c r="BQ19" i="4"/>
  <c r="BM20" i="4"/>
  <c r="Z16" i="4"/>
  <c r="V17" i="4"/>
  <c r="R18" i="4"/>
  <c r="CD18" i="4"/>
  <c r="BZ19" i="4"/>
  <c r="BV20" i="4"/>
  <c r="AI16" i="4"/>
  <c r="AE17" i="4"/>
  <c r="AA18" i="4"/>
  <c r="W19" i="4"/>
  <c r="S20" i="4"/>
  <c r="CE20" i="4"/>
  <c r="CA21" i="4"/>
  <c r="BW22" i="4"/>
  <c r="BS23" i="4"/>
  <c r="BO24" i="4"/>
  <c r="AJ16" i="4"/>
  <c r="AF17" i="4"/>
  <c r="AB18" i="4"/>
  <c r="X19" i="4"/>
  <c r="T20" i="4"/>
  <c r="CF20" i="4"/>
  <c r="CB21" i="4"/>
  <c r="BX22" i="4"/>
  <c r="AS16" i="4"/>
  <c r="AO17" i="4"/>
  <c r="AK18" i="4"/>
  <c r="AG19" i="4"/>
  <c r="AC20" i="4"/>
  <c r="Y21" i="4"/>
  <c r="BB16" i="4"/>
  <c r="AX17" i="4"/>
  <c r="AT18" i="4"/>
  <c r="AP19" i="4"/>
  <c r="AL20" i="4"/>
  <c r="AH21" i="4"/>
  <c r="BS16" i="4"/>
  <c r="BO17" i="4"/>
  <c r="BK18" i="4"/>
  <c r="BG19" i="4"/>
  <c r="BC20" i="4"/>
  <c r="AY21" i="4"/>
  <c r="AU22" i="4"/>
  <c r="AQ23" i="4"/>
  <c r="AM24" i="4"/>
  <c r="BV24" i="4"/>
  <c r="BM22" i="4"/>
  <c r="AS25" i="4"/>
  <c r="CC23" i="4"/>
  <c r="BJ25" i="4"/>
  <c r="AK22" i="4"/>
  <c r="CD23" i="4"/>
  <c r="AC25" i="4"/>
  <c r="BV21" i="4"/>
  <c r="BU23" i="4"/>
  <c r="BD25" i="4"/>
  <c r="CG23" i="4"/>
  <c r="BZ21" i="4"/>
  <c r="BF25" i="4"/>
  <c r="BY21" i="4"/>
  <c r="V25" i="4"/>
  <c r="AF16" i="4"/>
  <c r="AB17" i="4"/>
  <c r="X18" i="4"/>
  <c r="T19" i="4"/>
  <c r="CF19" i="4"/>
  <c r="CB20" i="4"/>
  <c r="BX21" i="4"/>
  <c r="BT22" i="4"/>
  <c r="Y16" i="4"/>
  <c r="U17" i="4"/>
  <c r="CG17" i="4"/>
  <c r="CC18" i="4"/>
  <c r="BY19" i="4"/>
  <c r="BU20" i="4"/>
  <c r="AH16" i="4"/>
  <c r="AD17" i="4"/>
  <c r="Z18" i="4"/>
  <c r="V19" i="4"/>
  <c r="R20" i="4"/>
  <c r="CD20" i="4"/>
  <c r="AQ16" i="4"/>
  <c r="AM17" i="4"/>
  <c r="AI18" i="4"/>
  <c r="AE19" i="4"/>
  <c r="AA20" i="4"/>
  <c r="W21" i="4"/>
  <c r="S22" i="4"/>
  <c r="CE22" i="4"/>
  <c r="CA23" i="4"/>
  <c r="BW24" i="4"/>
  <c r="AR16" i="4"/>
  <c r="AN17" i="4"/>
  <c r="AJ18" i="4"/>
  <c r="AF19" i="4"/>
  <c r="AB20" i="4"/>
  <c r="X21" i="4"/>
  <c r="T22" i="4"/>
  <c r="CF22" i="4"/>
  <c r="BA16" i="4"/>
  <c r="AW17" i="4"/>
  <c r="AS18" i="4"/>
  <c r="AO19" i="4"/>
  <c r="AK20" i="4"/>
  <c r="AG21" i="4"/>
  <c r="BJ16" i="4"/>
  <c r="BF17" i="4"/>
  <c r="BB18" i="4"/>
  <c r="AX19" i="4"/>
  <c r="AT20" i="4"/>
  <c r="AP21" i="4"/>
  <c r="CA16" i="4"/>
  <c r="BW17" i="4"/>
  <c r="BS18" i="4"/>
  <c r="BO19" i="4"/>
  <c r="BK20" i="4"/>
  <c r="BG21" i="4"/>
  <c r="BC22" i="4"/>
  <c r="AY23" i="4"/>
  <c r="AU24" i="4"/>
  <c r="Z25" i="4"/>
  <c r="AC23" i="4"/>
  <c r="BI25" i="4"/>
  <c r="AS24" i="4"/>
  <c r="BB21" i="4"/>
  <c r="BA22" i="4"/>
  <c r="Y24" i="4"/>
  <c r="AL25" i="4"/>
  <c r="V22" i="4"/>
  <c r="CF23" i="4"/>
  <c r="BT25" i="4"/>
  <c r="AL24" i="4"/>
  <c r="BV22" i="4"/>
  <c r="AH23" i="4"/>
  <c r="BE22" i="4"/>
  <c r="AO25" i="4"/>
  <c r="AN16" i="4"/>
  <c r="AJ17" i="4"/>
  <c r="AF18" i="4"/>
  <c r="AB19" i="4"/>
  <c r="X20" i="4"/>
  <c r="T21" i="4"/>
  <c r="CF21" i="4"/>
  <c r="CB22" i="4"/>
  <c r="AG16" i="4"/>
  <c r="AC17" i="4"/>
  <c r="Y18" i="4"/>
  <c r="U19" i="4"/>
  <c r="CG19" i="4"/>
  <c r="CC20" i="4"/>
  <c r="AP16" i="4"/>
  <c r="AL17" i="4"/>
  <c r="AH18" i="4"/>
  <c r="AD19" i="4"/>
  <c r="Z20" i="4"/>
  <c r="V21" i="4"/>
  <c r="AY16" i="4"/>
  <c r="AU17" i="4"/>
  <c r="AQ18" i="4"/>
  <c r="AM19" i="4"/>
  <c r="AI20" i="4"/>
  <c r="AE21" i="4"/>
  <c r="AA22" i="4"/>
  <c r="W23" i="4"/>
  <c r="S24" i="4"/>
  <c r="CE24" i="4"/>
  <c r="AZ16" i="4"/>
  <c r="AV17" i="4"/>
  <c r="AR18" i="4"/>
  <c r="AN19" i="4"/>
  <c r="AJ20" i="4"/>
  <c r="AF21" i="4"/>
  <c r="AB22" i="4"/>
  <c r="X23" i="4"/>
  <c r="BI16" i="4"/>
  <c r="BE17" i="4"/>
  <c r="BA18" i="4"/>
  <c r="AW19" i="4"/>
  <c r="AS20" i="4"/>
  <c r="AO21" i="4"/>
  <c r="BR16" i="4"/>
  <c r="BN17" i="4"/>
  <c r="BJ18" i="4"/>
  <c r="BF19" i="4"/>
  <c r="BB20" i="4"/>
  <c r="W16" i="4"/>
  <c r="S17" i="4"/>
  <c r="CE17" i="4"/>
  <c r="CA18" i="4"/>
  <c r="BW19" i="4"/>
  <c r="BS20" i="4"/>
  <c r="BO21" i="4"/>
  <c r="BK22" i="4"/>
  <c r="BG23" i="4"/>
  <c r="BC24" i="4"/>
  <c r="AR25" i="4"/>
  <c r="BE23" i="4"/>
  <c r="BQ25" i="4"/>
  <c r="BY24" i="4"/>
  <c r="X24" i="4"/>
  <c r="BQ22" i="4"/>
  <c r="AJ24" i="4"/>
  <c r="AU25" i="4"/>
  <c r="AL22" i="4"/>
  <c r="Z24" i="4"/>
  <c r="BI21" i="4"/>
  <c r="BH24" i="4"/>
  <c r="AL23" i="4"/>
  <c r="AV24" i="4"/>
  <c r="U23" i="4"/>
  <c r="BE25" i="4"/>
  <c r="BT24" i="4"/>
  <c r="AX24" i="4"/>
  <c r="BY22" i="4"/>
  <c r="AO24" i="4"/>
  <c r="AY25" i="4"/>
  <c r="AD22" i="4"/>
  <c r="U24" i="4"/>
  <c r="BA21" i="4"/>
  <c r="BM24" i="4"/>
  <c r="AT23" i="4"/>
  <c r="AV16" i="4"/>
  <c r="AR17" i="4"/>
  <c r="AN18" i="4"/>
  <c r="AJ19" i="4"/>
  <c r="AF20" i="4"/>
  <c r="AB21" i="4"/>
  <c r="X22" i="4"/>
  <c r="T23" i="4"/>
  <c r="AO16" i="4"/>
  <c r="AK17" i="4"/>
  <c r="AG18" i="4"/>
  <c r="AC19" i="4"/>
  <c r="Y20" i="4"/>
  <c r="U21" i="4"/>
  <c r="AX16" i="4"/>
  <c r="AT17" i="4"/>
  <c r="AP18" i="4"/>
  <c r="AL19" i="4"/>
  <c r="AH20" i="4"/>
  <c r="AD21" i="4"/>
  <c r="BG16" i="4"/>
  <c r="BC17" i="4"/>
  <c r="AY18" i="4"/>
  <c r="AU19" i="4"/>
  <c r="AQ20" i="4"/>
  <c r="AM21" i="4"/>
  <c r="AI22" i="4"/>
  <c r="AE23" i="4"/>
  <c r="AA24" i="4"/>
  <c r="W25" i="4"/>
  <c r="BH16" i="4"/>
  <c r="BD17" i="4"/>
  <c r="AZ18" i="4"/>
  <c r="AV19" i="4"/>
  <c r="AR20" i="4"/>
  <c r="AN21" i="4"/>
  <c r="AJ22" i="4"/>
  <c r="AF23" i="4"/>
  <c r="BQ16" i="4"/>
  <c r="BM17" i="4"/>
  <c r="BI18" i="4"/>
  <c r="BE19" i="4"/>
  <c r="BA20" i="4"/>
  <c r="AW21" i="4"/>
  <c r="BZ16" i="4"/>
  <c r="BV17" i="4"/>
  <c r="BR18" i="4"/>
  <c r="BN19" i="4"/>
  <c r="BJ20" i="4"/>
  <c r="AE16" i="4"/>
  <c r="AA17" i="4"/>
  <c r="W18" i="4"/>
  <c r="S19" i="4"/>
  <c r="CE19" i="4"/>
  <c r="CA20" i="4"/>
  <c r="BW21" i="4"/>
  <c r="BS22" i="4"/>
  <c r="BO23" i="4"/>
  <c r="BK24" i="4"/>
  <c r="BH25" i="4"/>
  <c r="CB23" i="4"/>
  <c r="BR21" i="4"/>
  <c r="AT25" i="4"/>
  <c r="S25" i="4"/>
  <c r="CG22" i="4"/>
  <c r="AT24" i="4"/>
  <c r="BC25" i="4"/>
  <c r="BB22" i="4"/>
  <c r="AK24" i="4"/>
  <c r="Y22" i="4"/>
  <c r="CC24" i="4"/>
  <c r="BM23" i="4"/>
  <c r="CB24" i="4"/>
  <c r="AX23" i="4"/>
  <c r="BU25" i="4"/>
  <c r="AG25" i="4"/>
  <c r="AP25" i="4"/>
  <c r="Y23" i="4"/>
  <c r="AZ24" i="4"/>
  <c r="BG25" i="4"/>
  <c r="AT22" i="4"/>
  <c r="AF24" i="4"/>
  <c r="CG21" i="4"/>
  <c r="R25" i="4"/>
  <c r="BR23" i="4"/>
  <c r="BR25" i="4"/>
  <c r="AD24" i="4"/>
  <c r="S21" i="4"/>
  <c r="AP23" i="4"/>
  <c r="BN25" i="4"/>
  <c r="CD22" i="4"/>
  <c r="BQ23" i="4"/>
  <c r="BL24" i="4"/>
  <c r="CD21" i="4"/>
  <c r="Y25" i="4"/>
  <c r="BB23" i="4"/>
  <c r="Z22" i="4"/>
  <c r="BJ21" i="4"/>
  <c r="BK25" i="4"/>
  <c r="BS24" i="4"/>
  <c r="AI17" i="4"/>
  <c r="BI20" i="4"/>
  <c r="AZ20" i="4"/>
  <c r="AQ22" i="4"/>
  <c r="AP20" i="4"/>
  <c r="AO18" i="4"/>
  <c r="AV18" i="4"/>
  <c r="CF24" i="4"/>
  <c r="AO23" i="4"/>
  <c r="CD25" i="4"/>
  <c r="BV23" i="4"/>
  <c r="BE24" i="4"/>
  <c r="BW23" i="4"/>
  <c r="AM16" i="4"/>
  <c r="BM19" i="4"/>
  <c r="BD19" i="4"/>
  <c r="AU21" i="4"/>
  <c r="AT19" i="4"/>
  <c r="AS17" i="4"/>
  <c r="AZ17" i="4"/>
  <c r="BU24" i="4"/>
  <c r="AX25" i="4"/>
  <c r="AG23" i="4"/>
  <c r="BR20" i="4"/>
  <c r="BH18" i="4"/>
  <c r="BD16" i="4"/>
  <c r="AX21" i="4"/>
  <c r="BI22" i="4"/>
  <c r="AD25" i="4"/>
  <c r="CA22" i="4"/>
  <c r="BQ18" i="4"/>
  <c r="AY20" i="4"/>
  <c r="AX18" i="4"/>
  <c r="AW16" i="4"/>
  <c r="BY25" i="4"/>
  <c r="AW22" i="4"/>
  <c r="BP23" i="4"/>
  <c r="CE25" i="4"/>
  <c r="BJ24" i="4"/>
  <c r="AS22" i="4"/>
  <c r="CD24" i="4"/>
  <c r="R24" i="4"/>
  <c r="BB25" i="4"/>
  <c r="CE21" i="4"/>
  <c r="BV19" i="4"/>
  <c r="BU17" i="4"/>
  <c r="BL17" i="4"/>
  <c r="BC19" i="4"/>
  <c r="BB17" i="4"/>
  <c r="AB23" i="4"/>
  <c r="BW25" i="4"/>
  <c r="BZ25" i="4"/>
  <c r="BY16" i="4"/>
  <c r="BP16" i="4"/>
  <c r="BG18" i="4"/>
  <c r="BF16" i="4"/>
  <c r="AF22" i="4"/>
  <c r="CC22" i="4"/>
  <c r="BD23" i="4"/>
  <c r="AF25" i="4"/>
  <c r="AJ25" i="4"/>
  <c r="T24" i="4"/>
  <c r="AH22" i="4"/>
  <c r="W20" i="4"/>
  <c r="CD17" i="4"/>
  <c r="AN23" i="4"/>
  <c r="AE25" i="4"/>
  <c r="BK17" i="4"/>
  <c r="AC21" i="4"/>
  <c r="AJ21" i="4"/>
  <c r="CH53" i="4"/>
  <c r="CH55" i="4"/>
  <c r="CH64" i="4"/>
  <c r="CH59" i="4"/>
  <c r="CH70" i="4"/>
  <c r="CH60" i="4"/>
  <c r="CH36" i="4"/>
  <c r="CH48" i="4"/>
  <c r="CH62" i="4"/>
  <c r="CH74" i="4"/>
  <c r="CH57" i="4"/>
  <c r="CH52" i="4"/>
  <c r="CH61" i="4"/>
  <c r="CH69" i="4"/>
  <c r="CH44" i="4"/>
  <c r="CH75" i="4"/>
  <c r="CH73" i="4"/>
  <c r="CH42" i="4"/>
  <c r="CH39" i="4"/>
  <c r="CH54" i="4"/>
  <c r="CH66" i="4"/>
  <c r="CH68" i="4"/>
  <c r="CH65" i="4"/>
  <c r="CH50" i="4"/>
  <c r="CH71" i="4"/>
  <c r="CH63" i="4"/>
  <c r="CH56" i="4"/>
  <c r="CH45" i="4"/>
  <c r="CH37" i="4"/>
  <c r="CH47" i="4"/>
  <c r="CH49" i="4"/>
  <c r="CH76" i="4"/>
  <c r="CH40" i="4"/>
  <c r="CH72" i="4"/>
  <c r="CH51" i="4"/>
  <c r="CH67" i="4"/>
  <c r="CH58" i="4"/>
  <c r="CH46" i="4"/>
  <c r="CH41" i="4"/>
  <c r="CH38" i="4"/>
  <c r="CH43" i="4"/>
  <c r="AA29" i="4"/>
  <c r="Y29" i="4"/>
  <c r="B35" i="4"/>
  <c r="T29" i="4"/>
  <c r="V29" i="4"/>
  <c r="CH35" i="4"/>
  <c r="S29" i="4"/>
  <c r="U29" i="4"/>
  <c r="Z29" i="4"/>
  <c r="W29" i="4"/>
  <c r="X29" i="4"/>
  <c r="R29" i="4"/>
  <c r="AB29" i="4" l="1"/>
</calcChain>
</file>

<file path=xl/sharedStrings.xml><?xml version="1.0" encoding="utf-8"?>
<sst xmlns="http://schemas.openxmlformats.org/spreadsheetml/2006/main" count="302" uniqueCount="213">
  <si>
    <t>finQuick</t>
  </si>
  <si>
    <t>finVery</t>
  </si>
  <si>
    <t>finLong</t>
  </si>
  <si>
    <t>finLing</t>
  </si>
  <si>
    <t>finArome</t>
  </si>
  <si>
    <t>finSalt</t>
  </si>
  <si>
    <t>finOil</t>
  </si>
  <si>
    <t>finSpice</t>
  </si>
  <si>
    <t>finSweet</t>
  </si>
  <si>
    <t>finSmoke</t>
  </si>
  <si>
    <t>finGrass</t>
  </si>
  <si>
    <t>finFruit</t>
  </si>
  <si>
    <t>finClean</t>
  </si>
  <si>
    <t>finSmooth</t>
  </si>
  <si>
    <t>finLight</t>
  </si>
  <si>
    <t>finBig</t>
  </si>
  <si>
    <t>finWarm</t>
  </si>
  <si>
    <t>finDry</t>
  </si>
  <si>
    <t>finFull</t>
  </si>
  <si>
    <t>palArome</t>
  </si>
  <si>
    <t>palSalt</t>
  </si>
  <si>
    <t>palOil</t>
  </si>
  <si>
    <t>palSpice</t>
  </si>
  <si>
    <t>palSweet</t>
  </si>
  <si>
    <t>palSmoke</t>
  </si>
  <si>
    <t>palGrass</t>
  </si>
  <si>
    <t>palFruit</t>
  </si>
  <si>
    <t>palClean</t>
  </si>
  <si>
    <t>palSmooth</t>
  </si>
  <si>
    <t>palLight</t>
  </si>
  <si>
    <t>palBig</t>
  </si>
  <si>
    <t>palSherry</t>
  </si>
  <si>
    <t>palDry</t>
  </si>
  <si>
    <t>palFull</t>
  </si>
  <si>
    <t>bodyOily</t>
  </si>
  <si>
    <t>bodyFirm</t>
  </si>
  <si>
    <t>bodyLight</t>
  </si>
  <si>
    <t>bodySmooth</t>
  </si>
  <si>
    <t>bodyRound</t>
  </si>
  <si>
    <t>bodyFull</t>
  </si>
  <si>
    <t>bodyMed</t>
  </si>
  <si>
    <t>bodySoft</t>
  </si>
  <si>
    <t>noseRICH</t>
  </si>
  <si>
    <t>noseSPICY</t>
  </si>
  <si>
    <t>noseSHERRY</t>
  </si>
  <si>
    <t>noseSEA</t>
  </si>
  <si>
    <t>noseGRASS</t>
  </si>
  <si>
    <t>noseFRUIT</t>
  </si>
  <si>
    <t>noseDRY</t>
  </si>
  <si>
    <t>noseFRESH</t>
  </si>
  <si>
    <t>noseLIGHT</t>
  </si>
  <si>
    <t>noseSWEET</t>
  </si>
  <si>
    <t>nosePEAT</t>
  </si>
  <si>
    <t>noseAROMA</t>
  </si>
  <si>
    <t>colorSherry</t>
  </si>
  <si>
    <t>colorRed</t>
  </si>
  <si>
    <t>colorFamber</t>
  </si>
  <si>
    <t>colorAmber</t>
  </si>
  <si>
    <t>colorPamber</t>
  </si>
  <si>
    <t>colorBronze</t>
  </si>
  <si>
    <t>colorFgold</t>
  </si>
  <si>
    <t>colorOgold</t>
  </si>
  <si>
    <t>colorGold</t>
  </si>
  <si>
    <t>colorPgold</t>
  </si>
  <si>
    <t>colorPale</t>
  </si>
  <si>
    <t>colorVpale</t>
  </si>
  <si>
    <t>colorYellow</t>
  </si>
  <si>
    <t>colorWyne</t>
  </si>
  <si>
    <t>From 3</t>
  </si>
  <si>
    <t>From 2</t>
  </si>
  <si>
    <t>From 1</t>
  </si>
  <si>
    <t>Cluster</t>
  </si>
  <si>
    <t>Prev</t>
  </si>
  <si>
    <t>TimeToStop</t>
  </si>
  <si>
    <t>Centroid 3</t>
  </si>
  <si>
    <t>Centroid 2</t>
  </si>
  <si>
    <t>Centroid 1</t>
  </si>
  <si>
    <t>Factors</t>
  </si>
  <si>
    <t>Summary</t>
  </si>
  <si>
    <t>Distance From This Row to Centroids</t>
  </si>
  <si>
    <t>From 4</t>
  </si>
  <si>
    <t>From 5</t>
  </si>
  <si>
    <t>From 6</t>
  </si>
  <si>
    <t>From 7</t>
  </si>
  <si>
    <t>From 8</t>
  </si>
  <si>
    <t>From 9</t>
  </si>
  <si>
    <t>From 10</t>
  </si>
  <si>
    <t>Centroid 4</t>
  </si>
  <si>
    <t>Centroid 5</t>
  </si>
  <si>
    <t>Centroid 6</t>
  </si>
  <si>
    <t>Centroid 7</t>
  </si>
  <si>
    <t>Centroid 8</t>
  </si>
  <si>
    <t>Centroid 9</t>
  </si>
  <si>
    <t>Centroid 10</t>
  </si>
  <si>
    <t>Custer 1</t>
  </si>
  <si>
    <t>Custer 2</t>
  </si>
  <si>
    <t>Custer 3</t>
  </si>
  <si>
    <t>Custer 4</t>
  </si>
  <si>
    <t>Custer 5</t>
  </si>
  <si>
    <t>Custer 6</t>
  </si>
  <si>
    <t>Custer 7</t>
  </si>
  <si>
    <t>Custer 8</t>
  </si>
  <si>
    <t>Custer 9</t>
  </si>
  <si>
    <t>Custer 10</t>
  </si>
  <si>
    <t xml:space="preserve">Cluster Members: </t>
  </si>
  <si>
    <t>Clusters</t>
  </si>
  <si>
    <t>Seed</t>
  </si>
  <si>
    <t xml:space="preserve">A Positive integer </t>
  </si>
  <si>
    <t>or the word None</t>
  </si>
  <si>
    <t>Total</t>
  </si>
  <si>
    <t>None</t>
  </si>
  <si>
    <t>New</t>
  </si>
  <si>
    <t>CYGNET 00</t>
  </si>
  <si>
    <t>CYGNET 00 CVT</t>
  </si>
  <si>
    <t>DB2</t>
  </si>
  <si>
    <t>DB2/4</t>
  </si>
  <si>
    <t>DB4</t>
  </si>
  <si>
    <t>DB5</t>
  </si>
  <si>
    <t>DB6</t>
  </si>
  <si>
    <t>DB6 VANTAGE</t>
  </si>
  <si>
    <t>DB7 GT</t>
  </si>
  <si>
    <t>DB7 VANTAGE</t>
  </si>
  <si>
    <t>DB7 VANTAGE VOLANTE</t>
  </si>
  <si>
    <t>DB7 ZAGATO</t>
  </si>
  <si>
    <t>DB9</t>
  </si>
  <si>
    <t>DB9 VOLANTE</t>
  </si>
  <si>
    <t>DBS</t>
  </si>
  <si>
    <t>DBS V12</t>
  </si>
  <si>
    <t>DBS V12 2+2</t>
  </si>
  <si>
    <t>DBS V8</t>
  </si>
  <si>
    <t>DBS VOLANTE V12</t>
  </si>
  <si>
    <t>LAGONDA</t>
  </si>
  <si>
    <t>ONE-77 V12 AUTO</t>
  </si>
  <si>
    <t>RAPIDE S V12 AUTO</t>
  </si>
  <si>
    <t>V12 VANQUISH</t>
  </si>
  <si>
    <t>V8 VOLANTE</t>
  </si>
  <si>
    <t>VANQUISH S</t>
  </si>
  <si>
    <t>VANQUISH V12 AUTO</t>
  </si>
  <si>
    <t>VANTAGE GT12 AUTO</t>
  </si>
  <si>
    <t>VANTAGE N430</t>
  </si>
  <si>
    <t>VANTAGE N430 ROADSTER</t>
  </si>
  <si>
    <t>VANTAGE S V8</t>
  </si>
  <si>
    <t>VANTAGE V12</t>
  </si>
  <si>
    <t>VANTAGE V8 AUTO</t>
  </si>
  <si>
    <t>VANTAGE ZAGATO</t>
  </si>
  <si>
    <t>VIRAGE</t>
  </si>
  <si>
    <t>VIRAGE V8 COUPE AUTO</t>
  </si>
  <si>
    <t>VIRAGE VOLANTE</t>
  </si>
  <si>
    <t>VOLANTE</t>
  </si>
  <si>
    <t>ASTON MARTIN NAME</t>
  </si>
  <si>
    <t>price&lt;$10K</t>
  </si>
  <si>
    <t>price$10K-$25K</t>
  </si>
  <si>
    <t>price$25K-$50K</t>
  </si>
  <si>
    <t>price$50K-$75K</t>
  </si>
  <si>
    <t>price$75K-$100K</t>
  </si>
  <si>
    <t>price$100K-$150K</t>
  </si>
  <si>
    <t>price$150K-$200K</t>
  </si>
  <si>
    <t>price$200K-$300K</t>
  </si>
  <si>
    <t>price$300K-$400K</t>
  </si>
  <si>
    <t>price$400K-$500K</t>
  </si>
  <si>
    <t>price$500K-$750K</t>
  </si>
  <si>
    <t>price$1.25mil-$1.5mil</t>
  </si>
  <si>
    <t>price$1.5mil-$2.0mil</t>
  </si>
  <si>
    <t>price$2.0mil-$3.0mil</t>
  </si>
  <si>
    <t>price$3.0mil-$5.0mil</t>
  </si>
  <si>
    <t>price$5.0mil-$10.0mil</t>
  </si>
  <si>
    <t>price&gt;$10.0mil</t>
  </si>
  <si>
    <t>price$750K-$1.0mil</t>
  </si>
  <si>
    <t>price$1.0mil-$1.25mil</t>
  </si>
  <si>
    <t xml:space="preserve"> eng&lt;499cc</t>
  </si>
  <si>
    <t>eng1000cc-1499cc</t>
  </si>
  <si>
    <t>eng1500cc-1999cc</t>
  </si>
  <si>
    <t>eng2000cc-2499cc</t>
  </si>
  <si>
    <t>eng2500cc-2999cc</t>
  </si>
  <si>
    <t>eng3000cc-3499cc</t>
  </si>
  <si>
    <t>eng3500cc-3999cc</t>
  </si>
  <si>
    <t>eng500cc-999cc</t>
  </si>
  <si>
    <t>eng4000cc-4499cc</t>
  </si>
  <si>
    <t>eng4500cc-4999cc</t>
  </si>
  <si>
    <t>eng5000cc-5499cc</t>
  </si>
  <si>
    <t>eng6000cc-6499cc</t>
  </si>
  <si>
    <t>eng6500cc-6999cc</t>
  </si>
  <si>
    <t>eng7000cc to 7499cc</t>
  </si>
  <si>
    <t>eng7500cc-8000cc</t>
  </si>
  <si>
    <t>age&lt;5yrs</t>
  </si>
  <si>
    <t>age5yrs-10yrs</t>
  </si>
  <si>
    <t>age11yrs-15yrs</t>
  </si>
  <si>
    <t>age16yrs-20yrs</t>
  </si>
  <si>
    <t>age21yrs-25yrs</t>
  </si>
  <si>
    <t>age26yrs-30yrs</t>
  </si>
  <si>
    <t>age31yrs-40yrs</t>
  </si>
  <si>
    <t>age41yrs-50yrs</t>
  </si>
  <si>
    <t>hp&lt;100</t>
  </si>
  <si>
    <t>hp101-150</t>
  </si>
  <si>
    <t>hp151-200</t>
  </si>
  <si>
    <t>hp201-250</t>
  </si>
  <si>
    <t>hp251-300</t>
  </si>
  <si>
    <t>hp301-350</t>
  </si>
  <si>
    <t>hp351-400</t>
  </si>
  <si>
    <t>hp401-450</t>
  </si>
  <si>
    <t>hp451-500</t>
  </si>
  <si>
    <t>hp501-550</t>
  </si>
  <si>
    <t>hp551-600</t>
  </si>
  <si>
    <t>hp601-650</t>
  </si>
  <si>
    <t xml:space="preserve">DB9 GT V12 </t>
  </si>
  <si>
    <t>V8 Vantage</t>
  </si>
  <si>
    <t xml:space="preserve">VANQUISH VOLANTE </t>
  </si>
  <si>
    <t>VANQUISH ZAGATO</t>
  </si>
  <si>
    <t>V12 ZAGATO</t>
  </si>
  <si>
    <t>age51yrs-65yrs</t>
  </si>
  <si>
    <t>age66yrs-80yrs</t>
  </si>
  <si>
    <t>hp651-750</t>
  </si>
  <si>
    <t>placeholder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</si>
</sst>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b/>
      <sz val="10"/>
      <name val="Arial"/>
      <family val="2"/>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indexed="9"/>
        <bgColor indexed="64"/>
      </patternFill>
    </fill>
  </fills>
  <borders count="11">
    <border>
      <left/>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indexed="64"/>
      </bottom>
      <diagonal/>
    </border>
  </borders>
  <cellStyleXfs count="1">
    <xf numFmtId="0" fontId="0" fillId="0" borderId="0"/>
  </cellStyleXfs>
  <cellXfs count="27">
    <xf numFmtId="0" fontId="0" fillId="0" borderId="0" xfId="0"/>
    <xf numFmtId="0" fontId="0" fillId="0" borderId="0" xfId="0" applyAlignment="1">
      <alignment horizontal="center"/>
    </xf>
    <xf numFmtId="0" fontId="1" fillId="0" borderId="0" xfId="0" applyFont="1" applyAlignment="1">
      <alignment horizontal="center"/>
    </xf>
    <xf numFmtId="0" fontId="0" fillId="0" borderId="0" xfId="0" applyAlignment="1"/>
    <xf numFmtId="0" fontId="1" fillId="0" borderId="0" xfId="0" applyFont="1" applyAlignment="1">
      <alignment horizontal="center"/>
    </xf>
    <xf numFmtId="0" fontId="2" fillId="2" borderId="4" xfId="0" applyFont="1" applyFill="1" applyBorder="1" applyAlignment="1">
      <alignment horizontal="center"/>
    </xf>
    <xf numFmtId="0" fontId="1" fillId="0" borderId="6" xfId="0" applyFont="1" applyBorder="1" applyAlignment="1">
      <alignment horizontal="center"/>
    </xf>
    <xf numFmtId="0" fontId="0" fillId="0" borderId="4" xfId="0" applyBorder="1" applyAlignment="1">
      <alignment horizontal="center"/>
    </xf>
    <xf numFmtId="0" fontId="0" fillId="0" borderId="3" xfId="0" applyBorder="1"/>
    <xf numFmtId="0" fontId="0" fillId="0" borderId="3" xfId="0" applyBorder="1" applyAlignment="1">
      <alignment horizontal="center"/>
    </xf>
    <xf numFmtId="0" fontId="1" fillId="0" borderId="0" xfId="0" applyFont="1" applyAlignment="1">
      <alignment horizontal="center"/>
    </xf>
    <xf numFmtId="0" fontId="0" fillId="0" borderId="6" xfId="0" applyBorder="1" applyAlignment="1">
      <alignment horizontal="center"/>
    </xf>
    <xf numFmtId="0" fontId="1" fillId="0" borderId="0" xfId="0" applyFont="1" applyAlignment="1">
      <alignment horizontal="center"/>
    </xf>
    <xf numFmtId="0" fontId="1" fillId="0" borderId="2" xfId="0" applyFont="1" applyBorder="1" applyAlignment="1"/>
    <xf numFmtId="0" fontId="0" fillId="3" borderId="6" xfId="0" applyFill="1" applyBorder="1" applyAlignment="1">
      <alignment horizontal="center"/>
    </xf>
    <xf numFmtId="0" fontId="3" fillId="2" borderId="5" xfId="0" applyFont="1" applyFill="1" applyBorder="1" applyAlignment="1">
      <alignment horizontal="right"/>
    </xf>
    <xf numFmtId="0" fontId="3" fillId="2" borderId="4" xfId="0" applyFont="1" applyFill="1" applyBorder="1" applyAlignment="1">
      <alignment horizontal="center"/>
    </xf>
    <xf numFmtId="0" fontId="0" fillId="4" borderId="4" xfId="0" applyFill="1" applyBorder="1" applyAlignment="1">
      <alignment horizontal="left"/>
    </xf>
    <xf numFmtId="0" fontId="0" fillId="4" borderId="3" xfId="0" applyFill="1" applyBorder="1" applyAlignment="1">
      <alignment horizontal="left"/>
    </xf>
    <xf numFmtId="0" fontId="0" fillId="4" borderId="1" xfId="0" applyFill="1" applyBorder="1" applyAlignment="1">
      <alignment horizontal="left"/>
    </xf>
    <xf numFmtId="0" fontId="4" fillId="5" borderId="10" xfId="0" applyFont="1" applyFill="1" applyBorder="1" applyAlignment="1">
      <alignment horizontal="right" wrapText="1"/>
    </xf>
    <xf numFmtId="0" fontId="4" fillId="5" borderId="6" xfId="0" applyFont="1" applyFill="1" applyBorder="1" applyAlignment="1">
      <alignment horizontal="center" wrapText="1"/>
    </xf>
    <xf numFmtId="0" fontId="0" fillId="0" borderId="0" xfId="0" applyAlignment="1">
      <alignment horizontal="center"/>
    </xf>
    <xf numFmtId="0" fontId="0" fillId="0" borderId="2" xfId="0"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cellXfs>
  <cellStyles count="1">
    <cellStyle name="Normal" xfId="0" builtinId="0"/>
  </cellStyles>
  <dxfs count="10">
    <dxf>
      <font>
        <color rgb="FF002060"/>
      </font>
      <fill>
        <patternFill>
          <bgColor rgb="FFFFFF00"/>
        </patternFill>
      </fill>
    </dxf>
    <dxf>
      <font>
        <color auto="1"/>
      </font>
      <fill>
        <patternFill>
          <bgColor theme="8" tint="0.59996337778862885"/>
        </patternFill>
      </fill>
    </dxf>
    <dxf>
      <font>
        <color theme="0"/>
      </font>
      <fill>
        <patternFill>
          <bgColor rgb="FFFF0000"/>
        </patternFill>
      </fill>
    </dxf>
    <dxf>
      <font>
        <color auto="1"/>
      </font>
      <fill>
        <patternFill>
          <bgColor rgb="FF66FF33"/>
        </patternFill>
      </fill>
    </dxf>
    <dxf>
      <font>
        <color rgb="FFFFFF00"/>
      </font>
      <fill>
        <patternFill>
          <bgColor rgb="FF002060"/>
        </patternFill>
      </fill>
    </dxf>
    <dxf>
      <fill>
        <patternFill>
          <bgColor theme="0" tint="-0.14996795556505021"/>
        </patternFill>
      </fill>
    </dxf>
    <dxf>
      <fill>
        <patternFill>
          <bgColor rgb="FF00B0F0"/>
        </patternFill>
      </fill>
    </dxf>
    <dxf>
      <fill>
        <patternFill>
          <bgColor theme="9" tint="0.39994506668294322"/>
        </patternFill>
      </fill>
    </dxf>
    <dxf>
      <fill>
        <patternFill>
          <bgColor theme="6" tint="0.59996337778862885"/>
        </patternFill>
      </fill>
    </dxf>
    <dxf>
      <font>
        <color theme="0"/>
      </font>
      <fill>
        <patternFill>
          <bgColor rgb="FFFF0000"/>
        </patternFill>
      </fill>
    </dxf>
  </dxfs>
  <tableStyles count="0" defaultTableStyle="TableStyleMedium2" defaultPivotStyle="PivotStyleLight16"/>
  <colors>
    <mruColors>
      <color rgb="FF99FF33"/>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hyperlink" Target="https://en.wikipedia.org/wiki/K-means_clusteri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219075</xdr:colOff>
      <xdr:row>0</xdr:row>
      <xdr:rowOff>123824</xdr:rowOff>
    </xdr:from>
    <xdr:to>
      <xdr:col>15</xdr:col>
      <xdr:colOff>85725</xdr:colOff>
      <xdr:row>41</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828675" y="123824"/>
          <a:ext cx="8401050" cy="7705726"/>
        </a:xfrm>
        <a:prstGeom prst="rect">
          <a:avLst/>
        </a:prstGeom>
        <a:solidFill>
          <a:schemeClr val="accent3">
            <a:lumMod val="40000"/>
            <a:lumOff val="6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horz" rtlCol="0" anchor="t"/>
        <a:lstStyle/>
        <a:p>
          <a:r>
            <a:rPr lang="en-US" sz="1400" b="1" u="sng">
              <a:solidFill>
                <a:schemeClr val="tx1"/>
              </a:solidFill>
            </a:rPr>
            <a:t>Overview</a:t>
          </a:r>
        </a:p>
        <a:p>
          <a:endParaRPr lang="en-US" sz="1400"/>
        </a:p>
        <a:p>
          <a:r>
            <a:rPr lang="en-US" sz="1400"/>
            <a:t>The purpose of this application is to perform cluster analysis on</a:t>
          </a:r>
          <a:r>
            <a:rPr lang="en-US" sz="1400" baseline="0"/>
            <a:t> most of the cars ever produced by Aston Martin for a prospective buyer. This grouping allows a prospective shopper to narrow down groups of similar cars they might be interested in looking at purchasing and brings cars they would not have otherwise been considering into focus. Furthermore, if a well to do car enthusiast/collector wanted to purchase multiple cars, this grouping would allow them to have a diversified portfolio of automobiles. This clustering, paired with a statistical regression showing the relationship between price, engine, hp, and model year, will give Aston Martin buyers the best idea of the car that fits their needs and represents a good value. Moving forward, this model could be applied to multiple car brands with much more extensive model catalogues, providing greater utility to car shoppers by showing them how different companies compare to one another.</a:t>
          </a:r>
        </a:p>
        <a:p>
          <a:endParaRPr lang="en-US" sz="1400" baseline="0"/>
        </a:p>
        <a:p>
          <a:r>
            <a:rPr lang="en-US" sz="1400" b="1" u="sng" baseline="0"/>
            <a:t>Method</a:t>
          </a:r>
        </a:p>
        <a:p>
          <a:endParaRPr lang="en-US" sz="1400" b="1" u="sng" baseline="0"/>
        </a:p>
        <a:p>
          <a:r>
            <a:rPr lang="en-US" sz="1400" baseline="0"/>
            <a:t>There is a high degree of variation Aston Martins built over the last 70 years with 4 key vectors being flushed out in the model: price, engine size (displacement), horsepower, and age (in years). Some placeholder columns are used to help with referencing, but do not significantly alter the results as long as the model is run multiple times.  These category values are not mutually exclusive i.e. any combination of the characteristics can occur (like small engine displacement and large horsepower, and vice versa). In general, any of the values can co-occur, so each value of each variable is coded as a separate range with a binary possibility of occurring e.g. hp351-400 can be either a 1 or 0</a:t>
          </a:r>
          <a:r>
            <a:rPr lang="en-US" sz="1400" baseline="0">
              <a:effectLst/>
            </a:rPr>
            <a:t>. </a:t>
          </a:r>
          <a:r>
            <a:rPr lang="en-US" sz="1400" baseline="0">
              <a:solidFill>
                <a:schemeClr val="dk1"/>
              </a:solidFill>
              <a:effectLst/>
              <a:latin typeface="+mn-lt"/>
              <a:ea typeface="+mn-ea"/>
              <a:cs typeface="+mn-cs"/>
            </a:rPr>
            <a:t>This preliminary model creates up to 10 clusters of the 42 Astons for which we were able to find relaible data using the k-means clustering algorithm. K-means clustering takes multiple cluster samples of a set of data and attempts to find a reliable mean (or centroid) for each set of observations. After the model performs multiple iterations (beginning with a randomly generated seed) the clusters are finalized an displayed.</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For more info on k means cluster sampling, right click </a:t>
          </a:r>
          <a:r>
            <a:rPr lang="en-US" sz="1400" baseline="0">
              <a:solidFill>
                <a:srgbClr val="0070C0"/>
              </a:solidFill>
              <a:effectLst/>
              <a:latin typeface="+mn-lt"/>
              <a:ea typeface="+mn-ea"/>
              <a:cs typeface="+mn-cs"/>
            </a:rPr>
            <a:t>here </a:t>
          </a:r>
          <a:r>
            <a:rPr lang="en-US" sz="1400" baseline="0">
              <a:solidFill>
                <a:schemeClr val="tx1"/>
              </a:solidFill>
              <a:effectLst/>
              <a:latin typeface="+mn-lt"/>
              <a:ea typeface="+mn-ea"/>
              <a:cs typeface="+mn-cs"/>
            </a:rPr>
            <a:t>and select "open hyperlink"</a:t>
          </a:r>
        </a:p>
        <a:p>
          <a:endParaRPr lang="en-US" sz="1400" baseline="0">
            <a:solidFill>
              <a:schemeClr val="tx1"/>
            </a:solidFill>
            <a:effectLst/>
            <a:latin typeface="+mn-lt"/>
            <a:ea typeface="+mn-ea"/>
            <a:cs typeface="+mn-cs"/>
          </a:endParaRPr>
        </a:p>
        <a:p>
          <a:r>
            <a:rPr lang="en-US" sz="1400" b="1" u="sng" baseline="0">
              <a:solidFill>
                <a:schemeClr val="tx1"/>
              </a:solidFill>
              <a:effectLst/>
              <a:latin typeface="+mn-lt"/>
              <a:ea typeface="+mn-ea"/>
              <a:cs typeface="+mn-cs"/>
            </a:rPr>
            <a:t>Using The Model </a:t>
          </a:r>
        </a:p>
        <a:p>
          <a:endParaRPr lang="en-US" sz="1400" b="1" u="sng" baseline="0">
            <a:solidFill>
              <a:schemeClr val="tx1"/>
            </a:solidFill>
            <a:effectLst/>
            <a:latin typeface="+mn-lt"/>
            <a:ea typeface="+mn-ea"/>
            <a:cs typeface="+mn-cs"/>
          </a:endParaRPr>
        </a:p>
        <a:p>
          <a:r>
            <a:rPr lang="en-US" sz="1400" b="0" u="none" baseline="0">
              <a:solidFill>
                <a:schemeClr val="tx1"/>
              </a:solidFill>
              <a:effectLst/>
              <a:latin typeface="+mn-lt"/>
              <a:ea typeface="+mn-ea"/>
              <a:cs typeface="+mn-cs"/>
            </a:rPr>
            <a:t>To use the model click the "Get Started" button on the right. This will prompt the user to select the number of clusters they want, up to 10 (more clusters means fewer cars in each group, but greater similarity within each group). The user can also select a seed to use as a starting point for the random number generation, but if one isnt used the model will choose a random starting point. The user can then sort by car name or cluster group. Each cluster has a unique color to make visualization easier.</a:t>
          </a:r>
        </a:p>
        <a:p>
          <a:endParaRPr lang="en-US" sz="1400">
            <a:effectLst/>
          </a:endParaRPr>
        </a:p>
        <a:p>
          <a:endParaRPr lang="en-US" sz="1400" baseline="0"/>
        </a:p>
      </xdr:txBody>
    </xdr:sp>
    <xdr:clientData/>
  </xdr:twoCellAnchor>
  <mc:AlternateContent xmlns:mc="http://schemas.openxmlformats.org/markup-compatibility/2006">
    <mc:Choice xmlns:a14="http://schemas.microsoft.com/office/drawing/2010/main" Requires="a14">
      <xdr:twoCellAnchor editAs="oneCell">
        <xdr:from>
          <xdr:col>15</xdr:col>
          <xdr:colOff>400050</xdr:colOff>
          <xdr:row>33</xdr:row>
          <xdr:rowOff>38100</xdr:rowOff>
        </xdr:from>
        <xdr:to>
          <xdr:col>19</xdr:col>
          <xdr:colOff>200025</xdr:colOff>
          <xdr:row>39</xdr:row>
          <xdr:rowOff>76200</xdr:rowOff>
        </xdr:to>
        <xdr:sp macro="" textlink="">
          <xdr:nvSpPr>
            <xdr:cNvPr id="2049" name="btnGetStarted"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76200</xdr:colOff>
          <xdr:row>29</xdr:row>
          <xdr:rowOff>38100</xdr:rowOff>
        </xdr:from>
        <xdr:to>
          <xdr:col>18</xdr:col>
          <xdr:colOff>895350</xdr:colOff>
          <xdr:row>31</xdr:row>
          <xdr:rowOff>152400</xdr:rowOff>
        </xdr:to>
        <xdr:sp macro="" textlink="">
          <xdr:nvSpPr>
            <xdr:cNvPr id="1025" name="btnBuildClusters"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676275</xdr:colOff>
          <xdr:row>29</xdr:row>
          <xdr:rowOff>38100</xdr:rowOff>
        </xdr:from>
        <xdr:to>
          <xdr:col>24</xdr:col>
          <xdr:colOff>19050</xdr:colOff>
          <xdr:row>31</xdr:row>
          <xdr:rowOff>152400</xdr:rowOff>
        </xdr:to>
        <xdr:sp macro="" textlink="">
          <xdr:nvSpPr>
            <xdr:cNvPr id="1027" name="btnSortNam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552450</xdr:colOff>
          <xdr:row>29</xdr:row>
          <xdr:rowOff>38100</xdr:rowOff>
        </xdr:from>
        <xdr:to>
          <xdr:col>22</xdr:col>
          <xdr:colOff>1409700</xdr:colOff>
          <xdr:row>31</xdr:row>
          <xdr:rowOff>152400</xdr:rowOff>
        </xdr:to>
        <xdr:sp macro="" textlink="">
          <xdr:nvSpPr>
            <xdr:cNvPr id="1028" name="btnSortCluster"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180975</xdr:colOff>
          <xdr:row>29</xdr:row>
          <xdr:rowOff>38100</xdr:rowOff>
        </xdr:from>
        <xdr:to>
          <xdr:col>19</xdr:col>
          <xdr:colOff>1000125</xdr:colOff>
          <xdr:row>31</xdr:row>
          <xdr:rowOff>152400</xdr:rowOff>
        </xdr:to>
        <xdr:sp macro="" textlink="">
          <xdr:nvSpPr>
            <xdr:cNvPr id="1029" name="btnReset"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Explain"/>
  <dimension ref="A1"/>
  <sheetViews>
    <sheetView showGridLines="0" showRowColHeaders="0" workbookViewId="0">
      <selection activeCell="D3" sqref="D3"/>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2049" r:id="rId3" name="btnGetStarted">
          <controlPr defaultSize="0" autoLine="0" r:id="rId4">
            <anchor moveWithCells="1">
              <from>
                <xdr:col>15</xdr:col>
                <xdr:colOff>400050</xdr:colOff>
                <xdr:row>33</xdr:row>
                <xdr:rowOff>38100</xdr:rowOff>
              </from>
              <to>
                <xdr:col>19</xdr:col>
                <xdr:colOff>200025</xdr:colOff>
                <xdr:row>39</xdr:row>
                <xdr:rowOff>76200</xdr:rowOff>
              </to>
            </anchor>
          </controlPr>
        </control>
      </mc:Choice>
      <mc:Fallback>
        <control shapeId="2049" r:id="rId3" name="btnGetStarte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ClusterAnalysis"/>
  <dimension ref="A1:CH76"/>
  <sheetViews>
    <sheetView tabSelected="1" topLeftCell="P27" zoomScale="70" zoomScaleNormal="70" workbookViewId="0">
      <selection activeCell="V31" sqref="V31"/>
    </sheetView>
  </sheetViews>
  <sheetFormatPr defaultRowHeight="15" x14ac:dyDescent="0.25"/>
  <cols>
    <col min="1" max="1" width="2.5703125" hidden="1" customWidth="1"/>
    <col min="2" max="2" width="11.5703125" hidden="1" customWidth="1"/>
    <col min="3" max="3" width="2.5703125" hidden="1" customWidth="1"/>
    <col min="4" max="5" width="9.140625" hidden="1" customWidth="1"/>
    <col min="6" max="6" width="15.140625" hidden="1" customWidth="1"/>
    <col min="7" max="14" width="14.7109375" hidden="1" customWidth="1"/>
    <col min="15" max="15" width="14" hidden="1" customWidth="1"/>
    <col min="16" max="16" width="3" customWidth="1"/>
    <col min="17" max="17" width="27.5703125" customWidth="1"/>
    <col min="18" max="18" width="14.140625" customWidth="1"/>
    <col min="19" max="19" width="19.85546875" customWidth="1"/>
    <col min="20" max="20" width="22.5703125" customWidth="1"/>
    <col min="21" max="21" width="21.28515625" customWidth="1"/>
    <col min="22" max="22" width="21.7109375" customWidth="1"/>
    <col min="23" max="23" width="23" customWidth="1"/>
    <col min="24" max="24" width="22.7109375" customWidth="1"/>
    <col min="25" max="25" width="23.5703125" customWidth="1"/>
    <col min="26" max="26" width="23.140625" customWidth="1"/>
    <col min="27" max="27" width="24.140625" customWidth="1"/>
    <col min="28" max="28" width="22.5703125" customWidth="1"/>
    <col min="29" max="29" width="23.140625" customWidth="1"/>
    <col min="30" max="30" width="24.5703125" customWidth="1"/>
    <col min="31" max="32" width="25.85546875" customWidth="1"/>
    <col min="33" max="33" width="25" customWidth="1"/>
    <col min="34" max="34" width="27.85546875" customWidth="1"/>
    <col min="35" max="35" width="27.7109375" customWidth="1"/>
    <col min="36" max="40" width="23.42578125" customWidth="1"/>
    <col min="41" max="51" width="29.5703125" customWidth="1"/>
    <col min="52" max="61" width="26.42578125" customWidth="1"/>
    <col min="62" max="64" width="11.140625" customWidth="1"/>
    <col min="65" max="65" width="13.140625" customWidth="1"/>
    <col min="66" max="66" width="12.5703125" customWidth="1"/>
    <col min="67" max="67" width="13.140625" customWidth="1"/>
    <col min="68" max="68" width="14" customWidth="1"/>
    <col min="69" max="74" width="12.7109375" customWidth="1"/>
    <col min="75" max="85" width="16.42578125" customWidth="1"/>
    <col min="86" max="86" width="9.140625" customWidth="1"/>
  </cols>
  <sheetData>
    <row r="1" spans="6:85" hidden="1" x14ac:dyDescent="0.25">
      <c r="R1" s="1">
        <v>1</v>
      </c>
      <c r="S1" s="1">
        <v>2</v>
      </c>
      <c r="T1" s="1">
        <v>3</v>
      </c>
      <c r="U1" s="1">
        <v>4</v>
      </c>
      <c r="V1" s="1">
        <v>5</v>
      </c>
      <c r="W1" s="1">
        <v>6</v>
      </c>
      <c r="X1" s="1">
        <v>7</v>
      </c>
      <c r="Y1" s="1">
        <v>8</v>
      </c>
      <c r="Z1" s="1">
        <v>9</v>
      </c>
      <c r="AA1" s="1">
        <v>10</v>
      </c>
      <c r="AB1" s="1">
        <v>11</v>
      </c>
      <c r="AC1" s="1">
        <v>12</v>
      </c>
      <c r="AD1" s="1">
        <v>13</v>
      </c>
      <c r="AE1" s="1">
        <v>14</v>
      </c>
      <c r="AF1" s="1">
        <v>15</v>
      </c>
      <c r="AG1" s="1">
        <v>16</v>
      </c>
      <c r="AH1" s="1">
        <v>17</v>
      </c>
      <c r="AI1" s="1">
        <v>18</v>
      </c>
      <c r="AJ1" s="1">
        <v>19</v>
      </c>
      <c r="AK1" s="1">
        <v>20</v>
      </c>
      <c r="AL1" s="1">
        <v>21</v>
      </c>
      <c r="AM1" s="1">
        <v>22</v>
      </c>
      <c r="AN1" s="1">
        <v>23</v>
      </c>
      <c r="AO1" s="1">
        <v>24</v>
      </c>
      <c r="AP1" s="1">
        <v>25</v>
      </c>
      <c r="AQ1" s="1">
        <v>26</v>
      </c>
      <c r="AR1" s="1">
        <v>27</v>
      </c>
      <c r="AS1" s="1">
        <v>28</v>
      </c>
      <c r="AT1" s="1">
        <v>29</v>
      </c>
      <c r="AU1" s="1">
        <v>30</v>
      </c>
      <c r="AV1" s="1">
        <v>31</v>
      </c>
      <c r="AW1" s="1">
        <v>32</v>
      </c>
      <c r="AX1" s="1">
        <v>33</v>
      </c>
      <c r="AY1" s="1">
        <v>34</v>
      </c>
      <c r="AZ1" s="1">
        <v>35</v>
      </c>
      <c r="BA1" s="1">
        <v>36</v>
      </c>
      <c r="BB1" s="1">
        <v>37</v>
      </c>
      <c r="BC1" s="1">
        <v>38</v>
      </c>
      <c r="BD1" s="1">
        <v>39</v>
      </c>
      <c r="BE1" s="1">
        <v>40</v>
      </c>
      <c r="BF1" s="1">
        <v>41</v>
      </c>
      <c r="BG1" s="1">
        <v>42</v>
      </c>
      <c r="BH1" s="1">
        <v>43</v>
      </c>
      <c r="BI1" s="1">
        <v>44</v>
      </c>
      <c r="BJ1" s="1">
        <v>45</v>
      </c>
      <c r="BK1" s="1">
        <v>46</v>
      </c>
      <c r="BL1" s="1">
        <v>47</v>
      </c>
      <c r="BM1" s="1">
        <v>48</v>
      </c>
      <c r="BN1" s="1">
        <v>49</v>
      </c>
      <c r="BO1" s="1">
        <v>50</v>
      </c>
      <c r="BP1" s="1">
        <v>51</v>
      </c>
      <c r="BQ1" s="1">
        <v>52</v>
      </c>
      <c r="BR1" s="1">
        <v>53</v>
      </c>
      <c r="BS1" s="1">
        <v>54</v>
      </c>
      <c r="BT1" s="1">
        <v>55</v>
      </c>
      <c r="BU1" s="1">
        <v>56</v>
      </c>
      <c r="BV1" s="1">
        <v>57</v>
      </c>
      <c r="BW1" s="1">
        <v>58</v>
      </c>
      <c r="BX1" s="1">
        <v>59</v>
      </c>
      <c r="BY1" s="1">
        <v>60</v>
      </c>
      <c r="BZ1" s="1">
        <v>61</v>
      </c>
      <c r="CA1" s="1">
        <v>62</v>
      </c>
      <c r="CB1" s="1">
        <v>63</v>
      </c>
      <c r="CC1" s="1">
        <v>64</v>
      </c>
      <c r="CD1" s="1">
        <v>65</v>
      </c>
      <c r="CE1" s="1">
        <v>66</v>
      </c>
      <c r="CF1" s="1">
        <v>67</v>
      </c>
      <c r="CG1" s="1">
        <v>68</v>
      </c>
    </row>
    <row r="2" spans="6:85" hidden="1" x14ac:dyDescent="0.25">
      <c r="Q2" t="s">
        <v>77</v>
      </c>
      <c r="R2" t="s">
        <v>67</v>
      </c>
      <c r="S2" t="s">
        <v>66</v>
      </c>
      <c r="T2" t="s">
        <v>65</v>
      </c>
      <c r="U2" t="s">
        <v>64</v>
      </c>
      <c r="V2" t="s">
        <v>63</v>
      </c>
      <c r="W2" t="s">
        <v>62</v>
      </c>
      <c r="X2" t="s">
        <v>61</v>
      </c>
      <c r="Y2" t="s">
        <v>60</v>
      </c>
      <c r="Z2" t="s">
        <v>59</v>
      </c>
      <c r="AA2" t="s">
        <v>58</v>
      </c>
      <c r="AB2" t="s">
        <v>57</v>
      </c>
      <c r="AC2" t="s">
        <v>56</v>
      </c>
      <c r="AD2" t="s">
        <v>55</v>
      </c>
      <c r="AE2" t="s">
        <v>54</v>
      </c>
      <c r="AF2" t="s">
        <v>53</v>
      </c>
      <c r="AG2" t="s">
        <v>52</v>
      </c>
      <c r="AH2" t="s">
        <v>51</v>
      </c>
      <c r="AI2" t="s">
        <v>50</v>
      </c>
      <c r="AJ2" t="s">
        <v>49</v>
      </c>
      <c r="AK2" t="s">
        <v>48</v>
      </c>
      <c r="AL2" t="s">
        <v>47</v>
      </c>
      <c r="AM2" t="s">
        <v>46</v>
      </c>
      <c r="AN2" t="s">
        <v>45</v>
      </c>
      <c r="AO2" t="s">
        <v>44</v>
      </c>
      <c r="AP2" t="s">
        <v>43</v>
      </c>
      <c r="AQ2" t="s">
        <v>42</v>
      </c>
      <c r="AR2" t="s">
        <v>41</v>
      </c>
      <c r="AS2" t="s">
        <v>40</v>
      </c>
      <c r="AT2" t="s">
        <v>39</v>
      </c>
      <c r="AU2" t="s">
        <v>38</v>
      </c>
      <c r="AV2" t="s">
        <v>37</v>
      </c>
      <c r="AW2" t="s">
        <v>36</v>
      </c>
      <c r="AX2" t="s">
        <v>35</v>
      </c>
      <c r="AY2" t="s">
        <v>34</v>
      </c>
      <c r="AZ2" t="s">
        <v>33</v>
      </c>
      <c r="BA2" t="s">
        <v>32</v>
      </c>
      <c r="BB2" t="s">
        <v>31</v>
      </c>
      <c r="BC2" t="s">
        <v>30</v>
      </c>
      <c r="BD2" t="s">
        <v>29</v>
      </c>
      <c r="BE2" t="s">
        <v>28</v>
      </c>
      <c r="BF2" t="s">
        <v>27</v>
      </c>
      <c r="BG2" t="s">
        <v>26</v>
      </c>
      <c r="BH2" t="s">
        <v>25</v>
      </c>
      <c r="BI2" t="s">
        <v>24</v>
      </c>
      <c r="BJ2" t="s">
        <v>23</v>
      </c>
      <c r="BK2" t="s">
        <v>22</v>
      </c>
      <c r="BL2" t="s">
        <v>21</v>
      </c>
      <c r="BM2" t="s">
        <v>20</v>
      </c>
      <c r="BN2" t="s">
        <v>19</v>
      </c>
      <c r="BO2" t="s">
        <v>18</v>
      </c>
      <c r="BP2" t="s">
        <v>17</v>
      </c>
      <c r="BQ2" t="s">
        <v>16</v>
      </c>
      <c r="BR2" t="s">
        <v>15</v>
      </c>
      <c r="BS2" t="s">
        <v>14</v>
      </c>
      <c r="BT2" t="s">
        <v>13</v>
      </c>
      <c r="BU2" t="s">
        <v>12</v>
      </c>
      <c r="BV2" t="s">
        <v>11</v>
      </c>
      <c r="BW2" t="s">
        <v>10</v>
      </c>
      <c r="BX2" t="s">
        <v>9</v>
      </c>
      <c r="BY2" t="s">
        <v>8</v>
      </c>
      <c r="BZ2" t="s">
        <v>7</v>
      </c>
      <c r="CA2" t="s">
        <v>6</v>
      </c>
      <c r="CB2" t="s">
        <v>5</v>
      </c>
      <c r="CC2" t="s">
        <v>4</v>
      </c>
      <c r="CD2" t="s">
        <v>3</v>
      </c>
      <c r="CE2" t="s">
        <v>2</v>
      </c>
      <c r="CF2" t="s">
        <v>1</v>
      </c>
      <c r="CG2" t="s">
        <v>0</v>
      </c>
    </row>
    <row r="3" spans="6:85" hidden="1" x14ac:dyDescent="0.25">
      <c r="Q3" t="s">
        <v>76</v>
      </c>
      <c r="R3" s="3">
        <v>0</v>
      </c>
      <c r="S3" s="3">
        <v>0</v>
      </c>
      <c r="T3" s="3">
        <v>0</v>
      </c>
      <c r="U3" s="3">
        <v>0</v>
      </c>
      <c r="V3" s="3">
        <v>0</v>
      </c>
      <c r="W3" s="3">
        <v>0</v>
      </c>
      <c r="X3" s="3">
        <v>0</v>
      </c>
      <c r="Y3" s="3">
        <v>0</v>
      </c>
      <c r="Z3" s="3">
        <v>0</v>
      </c>
      <c r="AA3" s="3">
        <v>0</v>
      </c>
      <c r="AB3" s="3">
        <v>0.66666666666666663</v>
      </c>
      <c r="AC3" s="3">
        <v>0</v>
      </c>
      <c r="AD3" s="3">
        <v>0.33333333333333331</v>
      </c>
      <c r="AE3" s="3">
        <v>0</v>
      </c>
      <c r="AF3" s="3">
        <v>0</v>
      </c>
      <c r="AG3" s="3">
        <v>0</v>
      </c>
      <c r="AH3" s="3">
        <v>0</v>
      </c>
      <c r="AI3" s="3">
        <v>0</v>
      </c>
      <c r="AJ3" s="3">
        <v>0</v>
      </c>
      <c r="AK3" s="3">
        <v>0</v>
      </c>
      <c r="AL3" s="3">
        <v>0</v>
      </c>
      <c r="AM3" s="3">
        <v>0</v>
      </c>
      <c r="AN3" s="3">
        <v>0</v>
      </c>
      <c r="AO3" s="3">
        <v>0</v>
      </c>
      <c r="AP3" s="3">
        <v>0</v>
      </c>
      <c r="AQ3" s="3">
        <v>0</v>
      </c>
      <c r="AR3" s="3">
        <v>0.33333333333333331</v>
      </c>
      <c r="AS3" s="3">
        <v>0</v>
      </c>
      <c r="AT3" s="3">
        <v>0</v>
      </c>
      <c r="AU3" s="3">
        <v>0</v>
      </c>
      <c r="AV3" s="3">
        <v>0.33333333333333331</v>
      </c>
      <c r="AW3" s="3">
        <v>0.33333333333333331</v>
      </c>
      <c r="AX3" s="3">
        <v>0</v>
      </c>
      <c r="AY3" s="3">
        <v>0</v>
      </c>
      <c r="AZ3" s="3">
        <v>0</v>
      </c>
      <c r="BA3" s="3">
        <v>0.66666666666666663</v>
      </c>
      <c r="BB3" s="3">
        <v>0</v>
      </c>
      <c r="BC3" s="3">
        <v>0</v>
      </c>
      <c r="BD3" s="3">
        <v>0</v>
      </c>
      <c r="BE3" s="3">
        <v>0</v>
      </c>
      <c r="BF3" s="3">
        <v>0</v>
      </c>
      <c r="BG3" s="3">
        <v>0.33333333333333331</v>
      </c>
      <c r="BH3" s="3">
        <v>0</v>
      </c>
      <c r="BI3" s="3">
        <v>0</v>
      </c>
      <c r="BJ3" s="3">
        <v>0</v>
      </c>
      <c r="BK3" s="3">
        <v>0</v>
      </c>
      <c r="BL3" s="3">
        <v>0</v>
      </c>
      <c r="BM3" s="3">
        <v>0</v>
      </c>
      <c r="BN3" s="3">
        <v>0</v>
      </c>
      <c r="BO3" s="3">
        <v>0.33333333333333331</v>
      </c>
      <c r="BP3" s="3">
        <v>0</v>
      </c>
      <c r="BQ3" s="3">
        <v>0</v>
      </c>
      <c r="BR3" s="3">
        <v>0</v>
      </c>
      <c r="BS3" s="3">
        <v>0.66666666666666663</v>
      </c>
      <c r="BT3" s="3">
        <v>0</v>
      </c>
      <c r="BU3" s="3">
        <v>0</v>
      </c>
      <c r="BV3" s="3">
        <v>0</v>
      </c>
      <c r="BW3" s="3">
        <v>0</v>
      </c>
      <c r="BX3" s="3">
        <v>0</v>
      </c>
      <c r="BY3" s="3">
        <v>0</v>
      </c>
      <c r="BZ3" s="3">
        <v>0</v>
      </c>
      <c r="CA3" s="3">
        <v>0</v>
      </c>
      <c r="CB3" s="3">
        <v>0</v>
      </c>
      <c r="CC3" s="3">
        <v>0</v>
      </c>
      <c r="CD3" s="3">
        <v>0</v>
      </c>
      <c r="CE3" s="3">
        <v>0</v>
      </c>
      <c r="CF3" s="3">
        <v>0</v>
      </c>
      <c r="CG3" s="3">
        <v>0</v>
      </c>
    </row>
    <row r="4" spans="6:85" hidden="1" x14ac:dyDescent="0.25">
      <c r="Q4" t="s">
        <v>75</v>
      </c>
      <c r="R4" s="3">
        <v>0</v>
      </c>
      <c r="S4" s="3">
        <v>0</v>
      </c>
      <c r="T4" s="3">
        <v>0</v>
      </c>
      <c r="U4" s="3">
        <v>0</v>
      </c>
      <c r="V4" s="3">
        <v>0</v>
      </c>
      <c r="W4" s="3">
        <v>0.33333333333333331</v>
      </c>
      <c r="X4" s="3">
        <v>0</v>
      </c>
      <c r="Y4" s="3">
        <v>0.5</v>
      </c>
      <c r="Z4" s="3">
        <v>0</v>
      </c>
      <c r="AA4" s="3">
        <v>0</v>
      </c>
      <c r="AB4" s="3">
        <v>0</v>
      </c>
      <c r="AC4" s="3">
        <v>0</v>
      </c>
      <c r="AD4" s="3">
        <v>0</v>
      </c>
      <c r="AE4" s="3">
        <v>0.16666666666666666</v>
      </c>
      <c r="AF4" s="3">
        <v>0</v>
      </c>
      <c r="AG4" s="3">
        <v>0</v>
      </c>
      <c r="AH4" s="3">
        <v>0</v>
      </c>
      <c r="AI4" s="3">
        <v>0</v>
      </c>
      <c r="AJ4" s="3">
        <v>0</v>
      </c>
      <c r="AK4" s="3">
        <v>0</v>
      </c>
      <c r="AL4" s="3">
        <v>0</v>
      </c>
      <c r="AM4" s="3">
        <v>0</v>
      </c>
      <c r="AN4" s="3">
        <v>0</v>
      </c>
      <c r="AO4" s="3">
        <v>0</v>
      </c>
      <c r="AP4" s="3">
        <v>0</v>
      </c>
      <c r="AQ4" s="3">
        <v>0</v>
      </c>
      <c r="AR4" s="3">
        <v>0</v>
      </c>
      <c r="AS4" s="3">
        <v>0.83333333333333337</v>
      </c>
      <c r="AT4" s="3">
        <v>0</v>
      </c>
      <c r="AU4" s="3">
        <v>0</v>
      </c>
      <c r="AV4" s="3">
        <v>0</v>
      </c>
      <c r="AW4" s="3">
        <v>0</v>
      </c>
      <c r="AX4" s="3">
        <v>0.16666666666666666</v>
      </c>
      <c r="AY4" s="3">
        <v>0</v>
      </c>
      <c r="AZ4" s="3">
        <v>0</v>
      </c>
      <c r="BA4" s="3">
        <v>0.66666666666666663</v>
      </c>
      <c r="BB4" s="3">
        <v>0</v>
      </c>
      <c r="BC4" s="3">
        <v>0</v>
      </c>
      <c r="BD4" s="3">
        <v>0</v>
      </c>
      <c r="BE4" s="3">
        <v>0.16666666666666666</v>
      </c>
      <c r="BF4" s="3">
        <v>0.16666666666666666</v>
      </c>
      <c r="BG4" s="3">
        <v>0</v>
      </c>
      <c r="BH4" s="3">
        <v>0</v>
      </c>
      <c r="BI4" s="3">
        <v>0</v>
      </c>
      <c r="BJ4" s="3">
        <v>0</v>
      </c>
      <c r="BK4" s="3">
        <v>0</v>
      </c>
      <c r="BL4" s="3">
        <v>0</v>
      </c>
      <c r="BM4" s="3">
        <v>0</v>
      </c>
      <c r="BN4" s="3">
        <v>0.16666666666666666</v>
      </c>
      <c r="BO4" s="3">
        <v>0</v>
      </c>
      <c r="BP4" s="3">
        <v>0.16666666666666666</v>
      </c>
      <c r="BQ4" s="3">
        <v>0</v>
      </c>
      <c r="BR4" s="3">
        <v>0.5</v>
      </c>
      <c r="BS4" s="3">
        <v>0</v>
      </c>
      <c r="BT4" s="3">
        <v>0</v>
      </c>
      <c r="BU4" s="3">
        <v>0</v>
      </c>
      <c r="BV4" s="3">
        <v>0.16666666666666666</v>
      </c>
      <c r="BW4" s="3">
        <v>0</v>
      </c>
      <c r="BX4" s="3">
        <v>0</v>
      </c>
      <c r="BY4" s="3">
        <v>0</v>
      </c>
      <c r="BZ4" s="3">
        <v>0</v>
      </c>
      <c r="CA4" s="3">
        <v>0</v>
      </c>
      <c r="CB4" s="3">
        <v>0</v>
      </c>
      <c r="CC4" s="3">
        <v>0</v>
      </c>
      <c r="CD4" s="3">
        <v>0</v>
      </c>
      <c r="CE4" s="3">
        <v>0</v>
      </c>
      <c r="CF4" s="3">
        <v>0</v>
      </c>
      <c r="CG4" s="3">
        <v>0</v>
      </c>
    </row>
    <row r="5" spans="6:85" hidden="1" x14ac:dyDescent="0.25">
      <c r="F5" s="2"/>
      <c r="Q5" t="s">
        <v>74</v>
      </c>
      <c r="R5" s="3">
        <v>0</v>
      </c>
      <c r="S5" s="3">
        <v>0</v>
      </c>
      <c r="T5" s="3">
        <v>0</v>
      </c>
      <c r="U5" s="3">
        <v>0</v>
      </c>
      <c r="V5" s="3">
        <v>0</v>
      </c>
      <c r="W5" s="3">
        <v>0.8</v>
      </c>
      <c r="X5" s="3">
        <v>0.2</v>
      </c>
      <c r="Y5" s="3">
        <v>0</v>
      </c>
      <c r="Z5" s="3">
        <v>0</v>
      </c>
      <c r="AA5" s="3">
        <v>0</v>
      </c>
      <c r="AB5" s="3">
        <v>0</v>
      </c>
      <c r="AC5" s="3">
        <v>0</v>
      </c>
      <c r="AD5" s="3">
        <v>0</v>
      </c>
      <c r="AE5" s="3">
        <v>0</v>
      </c>
      <c r="AF5" s="3">
        <v>0</v>
      </c>
      <c r="AG5" s="3">
        <v>0</v>
      </c>
      <c r="AH5" s="3">
        <v>0</v>
      </c>
      <c r="AI5" s="3">
        <v>0</v>
      </c>
      <c r="AJ5" s="3">
        <v>0</v>
      </c>
      <c r="AK5" s="3">
        <v>0</v>
      </c>
      <c r="AL5" s="3">
        <v>0</v>
      </c>
      <c r="AM5" s="3">
        <v>0</v>
      </c>
      <c r="AN5" s="3">
        <v>0</v>
      </c>
      <c r="AO5" s="3">
        <v>0</v>
      </c>
      <c r="AP5" s="3">
        <v>0</v>
      </c>
      <c r="AQ5" s="3">
        <v>0</v>
      </c>
      <c r="AR5" s="3">
        <v>0</v>
      </c>
      <c r="AS5" s="3">
        <v>0.2</v>
      </c>
      <c r="AT5" s="3">
        <v>0.2</v>
      </c>
      <c r="AU5" s="3">
        <v>0</v>
      </c>
      <c r="AV5" s="3">
        <v>0.6</v>
      </c>
      <c r="AW5" s="3">
        <v>0</v>
      </c>
      <c r="AX5" s="3">
        <v>0</v>
      </c>
      <c r="AY5" s="3">
        <v>0</v>
      </c>
      <c r="AZ5" s="3">
        <v>1</v>
      </c>
      <c r="BA5" s="3">
        <v>0</v>
      </c>
      <c r="BB5" s="3">
        <v>0</v>
      </c>
      <c r="BC5" s="3">
        <v>0</v>
      </c>
      <c r="BD5" s="3">
        <v>0</v>
      </c>
      <c r="BE5" s="3">
        <v>0</v>
      </c>
      <c r="BF5" s="3">
        <v>0</v>
      </c>
      <c r="BG5" s="3">
        <v>0</v>
      </c>
      <c r="BH5" s="3">
        <v>0</v>
      </c>
      <c r="BI5" s="3">
        <v>0</v>
      </c>
      <c r="BJ5" s="3">
        <v>0</v>
      </c>
      <c r="BK5" s="3">
        <v>0</v>
      </c>
      <c r="BL5" s="3">
        <v>0</v>
      </c>
      <c r="BM5" s="3">
        <v>0</v>
      </c>
      <c r="BN5" s="3">
        <v>0</v>
      </c>
      <c r="BO5" s="3">
        <v>0</v>
      </c>
      <c r="BP5" s="3">
        <v>0</v>
      </c>
      <c r="BQ5" s="3">
        <v>1</v>
      </c>
      <c r="BR5" s="3">
        <v>0</v>
      </c>
      <c r="BS5" s="3">
        <v>0</v>
      </c>
      <c r="BT5" s="3">
        <v>0</v>
      </c>
      <c r="BU5" s="3">
        <v>0</v>
      </c>
      <c r="BV5" s="3">
        <v>0</v>
      </c>
      <c r="BW5" s="3">
        <v>0</v>
      </c>
      <c r="BX5" s="3">
        <v>0</v>
      </c>
      <c r="BY5" s="3">
        <v>0</v>
      </c>
      <c r="BZ5" s="3">
        <v>0</v>
      </c>
      <c r="CA5" s="3">
        <v>0</v>
      </c>
      <c r="CB5" s="3">
        <v>0</v>
      </c>
      <c r="CC5" s="3">
        <v>0</v>
      </c>
      <c r="CD5" s="3">
        <v>0</v>
      </c>
      <c r="CE5" s="3">
        <v>0</v>
      </c>
      <c r="CF5" s="3">
        <v>0</v>
      </c>
      <c r="CG5" s="3">
        <v>0</v>
      </c>
    </row>
    <row r="6" spans="6:85" hidden="1" x14ac:dyDescent="0.25">
      <c r="F6" s="12"/>
      <c r="Q6" t="s">
        <v>87</v>
      </c>
      <c r="R6" s="3">
        <v>0</v>
      </c>
      <c r="S6" s="3">
        <v>0</v>
      </c>
      <c r="T6" s="3">
        <v>0</v>
      </c>
      <c r="U6" s="3">
        <v>0.33333333333333331</v>
      </c>
      <c r="V6" s="3">
        <v>0</v>
      </c>
      <c r="W6" s="3">
        <v>0</v>
      </c>
      <c r="X6" s="3">
        <v>0</v>
      </c>
      <c r="Y6" s="3">
        <v>0</v>
      </c>
      <c r="Z6" s="3">
        <v>0</v>
      </c>
      <c r="AA6" s="3">
        <v>0.33333333333333331</v>
      </c>
      <c r="AB6" s="3">
        <v>0</v>
      </c>
      <c r="AC6" s="3">
        <v>0</v>
      </c>
      <c r="AD6" s="3">
        <v>0</v>
      </c>
      <c r="AE6" s="3">
        <v>0.33333333333333331</v>
      </c>
      <c r="AF6" s="3">
        <v>0</v>
      </c>
      <c r="AG6" s="3">
        <v>0</v>
      </c>
      <c r="AH6" s="3">
        <v>0</v>
      </c>
      <c r="AI6" s="3">
        <v>0</v>
      </c>
      <c r="AJ6" s="3">
        <v>0</v>
      </c>
      <c r="AK6" s="3">
        <v>0</v>
      </c>
      <c r="AL6" s="3">
        <v>0</v>
      </c>
      <c r="AM6" s="3">
        <v>0</v>
      </c>
      <c r="AN6" s="3">
        <v>0</v>
      </c>
      <c r="AO6" s="3">
        <v>0</v>
      </c>
      <c r="AP6" s="3">
        <v>0</v>
      </c>
      <c r="AQ6" s="3">
        <v>0</v>
      </c>
      <c r="AR6" s="3">
        <v>1</v>
      </c>
      <c r="AS6" s="3">
        <v>0</v>
      </c>
      <c r="AT6" s="3">
        <v>0</v>
      </c>
      <c r="AU6" s="3">
        <v>0</v>
      </c>
      <c r="AV6" s="3">
        <v>0</v>
      </c>
      <c r="AW6" s="3">
        <v>0</v>
      </c>
      <c r="AX6" s="3">
        <v>0</v>
      </c>
      <c r="AY6" s="3">
        <v>0</v>
      </c>
      <c r="AZ6" s="3">
        <v>0.33333333333333331</v>
      </c>
      <c r="BA6" s="3">
        <v>0</v>
      </c>
      <c r="BB6" s="3">
        <v>0</v>
      </c>
      <c r="BC6" s="3">
        <v>0</v>
      </c>
      <c r="BD6" s="3">
        <v>0</v>
      </c>
      <c r="BE6" s="3">
        <v>0</v>
      </c>
      <c r="BF6" s="3">
        <v>0</v>
      </c>
      <c r="BG6" s="3">
        <v>0</v>
      </c>
      <c r="BH6" s="3">
        <v>0.66666666666666663</v>
      </c>
      <c r="BI6" s="3">
        <v>0</v>
      </c>
      <c r="BJ6" s="3">
        <v>0</v>
      </c>
      <c r="BK6" s="3">
        <v>0</v>
      </c>
      <c r="BL6" s="3">
        <v>0</v>
      </c>
      <c r="BM6" s="3">
        <v>0.33333333333333331</v>
      </c>
      <c r="BN6" s="3">
        <v>0.33333333333333331</v>
      </c>
      <c r="BO6" s="3">
        <v>0</v>
      </c>
      <c r="BP6" s="3">
        <v>0</v>
      </c>
      <c r="BQ6" s="3">
        <v>0</v>
      </c>
      <c r="BR6" s="3">
        <v>0.33333333333333331</v>
      </c>
      <c r="BS6" s="3">
        <v>0</v>
      </c>
      <c r="BT6" s="3">
        <v>0</v>
      </c>
      <c r="BU6" s="3">
        <v>0</v>
      </c>
      <c r="BV6" s="3">
        <v>0</v>
      </c>
      <c r="BW6" s="3">
        <v>0</v>
      </c>
      <c r="BX6" s="3">
        <v>0</v>
      </c>
      <c r="BY6" s="3">
        <v>0</v>
      </c>
      <c r="BZ6" s="3">
        <v>0</v>
      </c>
      <c r="CA6" s="3">
        <v>0</v>
      </c>
      <c r="CB6" s="3">
        <v>0</v>
      </c>
      <c r="CC6" s="3">
        <v>0</v>
      </c>
      <c r="CD6" s="3">
        <v>0</v>
      </c>
      <c r="CE6" s="3">
        <v>0</v>
      </c>
      <c r="CF6" s="3">
        <v>0</v>
      </c>
      <c r="CG6" s="3">
        <v>0</v>
      </c>
    </row>
    <row r="7" spans="6:85" hidden="1" x14ac:dyDescent="0.25">
      <c r="F7" s="12"/>
      <c r="Q7" t="s">
        <v>88</v>
      </c>
      <c r="R7" s="3">
        <v>0</v>
      </c>
      <c r="S7" s="3">
        <v>0</v>
      </c>
      <c r="T7" s="3">
        <v>0.4</v>
      </c>
      <c r="U7" s="3">
        <v>0</v>
      </c>
      <c r="V7" s="3">
        <v>0.2</v>
      </c>
      <c r="W7" s="3">
        <v>0.2</v>
      </c>
      <c r="X7" s="3">
        <v>0</v>
      </c>
      <c r="Y7" s="3">
        <v>0</v>
      </c>
      <c r="Z7" s="3">
        <v>0</v>
      </c>
      <c r="AA7" s="3">
        <v>0</v>
      </c>
      <c r="AB7" s="3">
        <v>0</v>
      </c>
      <c r="AC7" s="3">
        <v>0.2</v>
      </c>
      <c r="AD7" s="3">
        <v>0</v>
      </c>
      <c r="AE7" s="3">
        <v>0</v>
      </c>
      <c r="AF7" s="3">
        <v>0</v>
      </c>
      <c r="AG7" s="3">
        <v>0</v>
      </c>
      <c r="AH7" s="3">
        <v>0</v>
      </c>
      <c r="AI7" s="3">
        <v>0</v>
      </c>
      <c r="AJ7" s="3">
        <v>0</v>
      </c>
      <c r="AK7" s="3">
        <v>0</v>
      </c>
      <c r="AL7" s="3">
        <v>0</v>
      </c>
      <c r="AM7" s="3">
        <v>0.4</v>
      </c>
      <c r="AN7" s="3">
        <v>0</v>
      </c>
      <c r="AO7" s="3">
        <v>0</v>
      </c>
      <c r="AP7" s="3">
        <v>0</v>
      </c>
      <c r="AQ7" s="3">
        <v>0</v>
      </c>
      <c r="AR7" s="3">
        <v>0.4</v>
      </c>
      <c r="AS7" s="3">
        <v>0.2</v>
      </c>
      <c r="AT7" s="3">
        <v>0</v>
      </c>
      <c r="AU7" s="3">
        <v>0</v>
      </c>
      <c r="AV7" s="3">
        <v>0</v>
      </c>
      <c r="AW7" s="3">
        <v>0</v>
      </c>
      <c r="AX7" s="3">
        <v>0</v>
      </c>
      <c r="AY7" s="3">
        <v>0</v>
      </c>
      <c r="AZ7" s="3">
        <v>0</v>
      </c>
      <c r="BA7" s="3">
        <v>0.4</v>
      </c>
      <c r="BB7" s="3">
        <v>0</v>
      </c>
      <c r="BC7" s="3">
        <v>0</v>
      </c>
      <c r="BD7" s="3">
        <v>0</v>
      </c>
      <c r="BE7" s="3">
        <v>0</v>
      </c>
      <c r="BF7" s="3">
        <v>0</v>
      </c>
      <c r="BG7" s="3">
        <v>0.6</v>
      </c>
      <c r="BH7" s="3">
        <v>0</v>
      </c>
      <c r="BI7" s="3">
        <v>0</v>
      </c>
      <c r="BJ7" s="3">
        <v>0.4</v>
      </c>
      <c r="BK7" s="3">
        <v>0</v>
      </c>
      <c r="BL7" s="3">
        <v>0</v>
      </c>
      <c r="BM7" s="3">
        <v>0</v>
      </c>
      <c r="BN7" s="3">
        <v>0.2</v>
      </c>
      <c r="BO7" s="3">
        <v>0</v>
      </c>
      <c r="BP7" s="3">
        <v>0.4</v>
      </c>
      <c r="BQ7" s="3">
        <v>0</v>
      </c>
      <c r="BR7" s="3">
        <v>0</v>
      </c>
      <c r="BS7" s="3">
        <v>0</v>
      </c>
      <c r="BT7" s="3">
        <v>0</v>
      </c>
      <c r="BU7" s="3">
        <v>0</v>
      </c>
      <c r="BV7" s="3">
        <v>0</v>
      </c>
      <c r="BW7" s="3">
        <v>0</v>
      </c>
      <c r="BX7" s="3">
        <v>0</v>
      </c>
      <c r="BY7" s="3">
        <v>0</v>
      </c>
      <c r="BZ7" s="3">
        <v>0</v>
      </c>
      <c r="CA7" s="3">
        <v>0</v>
      </c>
      <c r="CB7" s="3">
        <v>0</v>
      </c>
      <c r="CC7" s="3">
        <v>0</v>
      </c>
      <c r="CD7" s="3">
        <v>0</v>
      </c>
      <c r="CE7" s="3">
        <v>0</v>
      </c>
      <c r="CF7" s="3">
        <v>0</v>
      </c>
      <c r="CG7" s="3">
        <v>0</v>
      </c>
    </row>
    <row r="8" spans="6:85" hidden="1" x14ac:dyDescent="0.25">
      <c r="F8" s="12"/>
      <c r="Q8" t="s">
        <v>89</v>
      </c>
      <c r="R8" s="3">
        <v>0</v>
      </c>
      <c r="S8" s="3">
        <v>0</v>
      </c>
      <c r="T8" s="3">
        <v>0</v>
      </c>
      <c r="U8" s="3">
        <v>0</v>
      </c>
      <c r="V8" s="3">
        <v>0</v>
      </c>
      <c r="W8" s="3">
        <v>0</v>
      </c>
      <c r="X8" s="3">
        <v>0.33333333333333331</v>
      </c>
      <c r="Y8" s="3">
        <v>0.33333333333333331</v>
      </c>
      <c r="Z8" s="3">
        <v>0.33333333333333331</v>
      </c>
      <c r="AA8" s="3">
        <v>0</v>
      </c>
      <c r="AB8" s="3">
        <v>0</v>
      </c>
      <c r="AC8" s="3">
        <v>0</v>
      </c>
      <c r="AD8" s="3">
        <v>0</v>
      </c>
      <c r="AE8" s="3">
        <v>0</v>
      </c>
      <c r="AF8" s="3">
        <v>0</v>
      </c>
      <c r="AG8" s="3">
        <v>0</v>
      </c>
      <c r="AH8" s="3">
        <v>0</v>
      </c>
      <c r="AI8" s="3">
        <v>0</v>
      </c>
      <c r="AJ8" s="3">
        <v>0</v>
      </c>
      <c r="AK8" s="3">
        <v>0</v>
      </c>
      <c r="AL8" s="3">
        <v>0</v>
      </c>
      <c r="AM8" s="3">
        <v>0</v>
      </c>
      <c r="AN8" s="3">
        <v>0</v>
      </c>
      <c r="AO8" s="3">
        <v>0</v>
      </c>
      <c r="AP8" s="3">
        <v>0</v>
      </c>
      <c r="AQ8" s="3">
        <v>0</v>
      </c>
      <c r="AR8" s="3">
        <v>0</v>
      </c>
      <c r="AS8" s="3">
        <v>0</v>
      </c>
      <c r="AT8" s="3">
        <v>0.16666666666666666</v>
      </c>
      <c r="AU8" s="3">
        <v>0</v>
      </c>
      <c r="AV8" s="3">
        <v>0.83333333333333337</v>
      </c>
      <c r="AW8" s="3">
        <v>0</v>
      </c>
      <c r="AX8" s="3">
        <v>0</v>
      </c>
      <c r="AY8" s="3">
        <v>0</v>
      </c>
      <c r="AZ8" s="3">
        <v>0.83333333333333337</v>
      </c>
      <c r="BA8" s="3">
        <v>0</v>
      </c>
      <c r="BB8" s="3">
        <v>0.16666666666666666</v>
      </c>
      <c r="BC8" s="3">
        <v>0</v>
      </c>
      <c r="BD8" s="3">
        <v>0</v>
      </c>
      <c r="BE8" s="3">
        <v>0</v>
      </c>
      <c r="BF8" s="3">
        <v>0</v>
      </c>
      <c r="BG8" s="3">
        <v>0</v>
      </c>
      <c r="BH8" s="3">
        <v>0</v>
      </c>
      <c r="BI8" s="3">
        <v>0</v>
      </c>
      <c r="BJ8" s="3">
        <v>0</v>
      </c>
      <c r="BK8" s="3">
        <v>0</v>
      </c>
      <c r="BL8" s="3">
        <v>0</v>
      </c>
      <c r="BM8" s="3">
        <v>0</v>
      </c>
      <c r="BN8" s="3">
        <v>0</v>
      </c>
      <c r="BO8" s="3">
        <v>0</v>
      </c>
      <c r="BP8" s="3">
        <v>0</v>
      </c>
      <c r="BQ8" s="3">
        <v>0</v>
      </c>
      <c r="BR8" s="3">
        <v>0</v>
      </c>
      <c r="BS8" s="3">
        <v>0</v>
      </c>
      <c r="BT8" s="3">
        <v>1</v>
      </c>
      <c r="BU8" s="3">
        <v>0</v>
      </c>
      <c r="BV8" s="3">
        <v>0</v>
      </c>
      <c r="BW8" s="3">
        <v>0</v>
      </c>
      <c r="BX8" s="3">
        <v>0</v>
      </c>
      <c r="BY8" s="3">
        <v>0</v>
      </c>
      <c r="BZ8" s="3">
        <v>0</v>
      </c>
      <c r="CA8" s="3">
        <v>0</v>
      </c>
      <c r="CB8" s="3">
        <v>0</v>
      </c>
      <c r="CC8" s="3">
        <v>0</v>
      </c>
      <c r="CD8" s="3">
        <v>0</v>
      </c>
      <c r="CE8" s="3">
        <v>0</v>
      </c>
      <c r="CF8" s="3">
        <v>0</v>
      </c>
      <c r="CG8" s="3">
        <v>0</v>
      </c>
    </row>
    <row r="9" spans="6:85" hidden="1" x14ac:dyDescent="0.25">
      <c r="F9" s="12"/>
      <c r="Q9" t="s">
        <v>90</v>
      </c>
      <c r="R9" s="3">
        <v>0</v>
      </c>
      <c r="S9" s="3">
        <v>0</v>
      </c>
      <c r="T9" s="3">
        <v>0</v>
      </c>
      <c r="U9" s="3">
        <v>0</v>
      </c>
      <c r="V9" s="3">
        <v>0</v>
      </c>
      <c r="W9" s="3">
        <v>1</v>
      </c>
      <c r="X9" s="3">
        <v>0</v>
      </c>
      <c r="Y9" s="3">
        <v>0</v>
      </c>
      <c r="Z9" s="3">
        <v>0</v>
      </c>
      <c r="AA9" s="3">
        <v>0</v>
      </c>
      <c r="AB9" s="3">
        <v>0</v>
      </c>
      <c r="AC9" s="3">
        <v>0</v>
      </c>
      <c r="AD9" s="3">
        <v>0</v>
      </c>
      <c r="AE9" s="3">
        <v>0</v>
      </c>
      <c r="AF9" s="3">
        <v>0</v>
      </c>
      <c r="AG9" s="3">
        <v>0</v>
      </c>
      <c r="AH9" s="3">
        <v>0</v>
      </c>
      <c r="AI9" s="3">
        <v>0</v>
      </c>
      <c r="AJ9" s="3">
        <v>0</v>
      </c>
      <c r="AK9" s="3">
        <v>0</v>
      </c>
      <c r="AL9" s="3">
        <v>0</v>
      </c>
      <c r="AM9" s="3">
        <v>0</v>
      </c>
      <c r="AN9" s="3">
        <v>0</v>
      </c>
      <c r="AO9" s="3">
        <v>0</v>
      </c>
      <c r="AP9" s="3">
        <v>0</v>
      </c>
      <c r="AQ9" s="3">
        <v>0</v>
      </c>
      <c r="AR9" s="3">
        <v>0</v>
      </c>
      <c r="AS9" s="3">
        <v>0</v>
      </c>
      <c r="AT9" s="3">
        <v>1</v>
      </c>
      <c r="AU9" s="3">
        <v>0</v>
      </c>
      <c r="AV9" s="3">
        <v>0</v>
      </c>
      <c r="AW9" s="3">
        <v>0</v>
      </c>
      <c r="AX9" s="3">
        <v>0</v>
      </c>
      <c r="AY9" s="3">
        <v>0</v>
      </c>
      <c r="AZ9" s="3">
        <v>0</v>
      </c>
      <c r="BA9" s="3">
        <v>1</v>
      </c>
      <c r="BB9" s="3">
        <v>0</v>
      </c>
      <c r="BC9" s="3">
        <v>0</v>
      </c>
      <c r="BD9" s="3">
        <v>0</v>
      </c>
      <c r="BE9" s="3">
        <v>0</v>
      </c>
      <c r="BF9" s="3">
        <v>0</v>
      </c>
      <c r="BG9" s="3">
        <v>0</v>
      </c>
      <c r="BH9" s="3">
        <v>0</v>
      </c>
      <c r="BI9" s="3">
        <v>0</v>
      </c>
      <c r="BJ9" s="3">
        <v>0</v>
      </c>
      <c r="BK9" s="3">
        <v>0</v>
      </c>
      <c r="BL9" s="3">
        <v>0</v>
      </c>
      <c r="BM9" s="3">
        <v>0</v>
      </c>
      <c r="BN9" s="3">
        <v>0</v>
      </c>
      <c r="BO9" s="3">
        <v>0</v>
      </c>
      <c r="BP9" s="3">
        <v>0</v>
      </c>
      <c r="BQ9" s="3">
        <v>0</v>
      </c>
      <c r="BR9" s="3">
        <v>0</v>
      </c>
      <c r="BS9" s="3">
        <v>1</v>
      </c>
      <c r="BT9" s="3">
        <v>0</v>
      </c>
      <c r="BU9" s="3">
        <v>0</v>
      </c>
      <c r="BV9" s="3">
        <v>0</v>
      </c>
      <c r="BW9" s="3">
        <v>0</v>
      </c>
      <c r="BX9" s="3">
        <v>0</v>
      </c>
      <c r="BY9" s="3">
        <v>0</v>
      </c>
      <c r="BZ9" s="3">
        <v>0</v>
      </c>
      <c r="CA9" s="3">
        <v>0</v>
      </c>
      <c r="CB9" s="3">
        <v>0</v>
      </c>
      <c r="CC9" s="3">
        <v>0</v>
      </c>
      <c r="CD9" s="3">
        <v>0</v>
      </c>
      <c r="CE9" s="3">
        <v>0</v>
      </c>
      <c r="CF9" s="3">
        <v>0</v>
      </c>
      <c r="CG9" s="3">
        <v>0</v>
      </c>
    </row>
    <row r="10" spans="6:85" hidden="1" x14ac:dyDescent="0.25">
      <c r="F10" s="12"/>
      <c r="Q10" t="s">
        <v>91</v>
      </c>
      <c r="R10" s="3">
        <v>0</v>
      </c>
      <c r="S10" s="3">
        <v>0</v>
      </c>
      <c r="T10" s="3">
        <v>0</v>
      </c>
      <c r="U10" s="3">
        <v>0</v>
      </c>
      <c r="V10" s="3">
        <v>0</v>
      </c>
      <c r="W10" s="3">
        <v>0.25</v>
      </c>
      <c r="X10" s="3">
        <v>0</v>
      </c>
      <c r="Y10" s="3">
        <v>0.5</v>
      </c>
      <c r="Z10" s="3">
        <v>0</v>
      </c>
      <c r="AA10" s="3">
        <v>0</v>
      </c>
      <c r="AB10" s="3">
        <v>0.25</v>
      </c>
      <c r="AC10" s="3">
        <v>0</v>
      </c>
      <c r="AD10" s="3">
        <v>0</v>
      </c>
      <c r="AE10" s="3">
        <v>0</v>
      </c>
      <c r="AF10" s="3">
        <v>0</v>
      </c>
      <c r="AG10" s="3">
        <v>0</v>
      </c>
      <c r="AH10" s="3">
        <v>0</v>
      </c>
      <c r="AI10" s="3">
        <v>0</v>
      </c>
      <c r="AJ10" s="3">
        <v>0</v>
      </c>
      <c r="AK10" s="3">
        <v>0</v>
      </c>
      <c r="AL10" s="3">
        <v>0</v>
      </c>
      <c r="AM10" s="3">
        <v>0</v>
      </c>
      <c r="AN10" s="3">
        <v>0</v>
      </c>
      <c r="AO10" s="3">
        <v>0</v>
      </c>
      <c r="AP10" s="3">
        <v>0</v>
      </c>
      <c r="AQ10" s="3">
        <v>0</v>
      </c>
      <c r="AR10" s="3">
        <v>0</v>
      </c>
      <c r="AS10" s="3">
        <v>0</v>
      </c>
      <c r="AT10" s="3">
        <v>0</v>
      </c>
      <c r="AU10" s="3">
        <v>0.25</v>
      </c>
      <c r="AV10" s="3">
        <v>0.5</v>
      </c>
      <c r="AW10" s="3">
        <v>0.25</v>
      </c>
      <c r="AX10" s="3">
        <v>0</v>
      </c>
      <c r="AY10" s="3">
        <v>0</v>
      </c>
      <c r="AZ10" s="3">
        <v>1</v>
      </c>
      <c r="BA10" s="3">
        <v>0</v>
      </c>
      <c r="BB10" s="3">
        <v>0</v>
      </c>
      <c r="BC10" s="3">
        <v>0</v>
      </c>
      <c r="BD10" s="3">
        <v>0</v>
      </c>
      <c r="BE10" s="3">
        <v>0</v>
      </c>
      <c r="BF10" s="3">
        <v>0</v>
      </c>
      <c r="BG10" s="3">
        <v>0</v>
      </c>
      <c r="BH10" s="3">
        <v>0</v>
      </c>
      <c r="BI10" s="3">
        <v>0</v>
      </c>
      <c r="BJ10" s="3">
        <v>0</v>
      </c>
      <c r="BK10" s="3">
        <v>0</v>
      </c>
      <c r="BL10" s="3">
        <v>0</v>
      </c>
      <c r="BM10" s="3">
        <v>0</v>
      </c>
      <c r="BN10" s="3">
        <v>0</v>
      </c>
      <c r="BO10" s="3">
        <v>0</v>
      </c>
      <c r="BP10" s="3">
        <v>0</v>
      </c>
      <c r="BQ10" s="3">
        <v>0</v>
      </c>
      <c r="BR10" s="3">
        <v>0</v>
      </c>
      <c r="BS10" s="3">
        <v>0.75</v>
      </c>
      <c r="BT10" s="3">
        <v>0.25</v>
      </c>
      <c r="BU10" s="3">
        <v>0</v>
      </c>
      <c r="BV10" s="3">
        <v>0</v>
      </c>
      <c r="BW10" s="3">
        <v>0</v>
      </c>
      <c r="BX10" s="3">
        <v>0</v>
      </c>
      <c r="BY10" s="3">
        <v>0</v>
      </c>
      <c r="BZ10" s="3">
        <v>0</v>
      </c>
      <c r="CA10" s="3">
        <v>0</v>
      </c>
      <c r="CB10" s="3">
        <v>0</v>
      </c>
      <c r="CC10" s="3">
        <v>0</v>
      </c>
      <c r="CD10" s="3">
        <v>0</v>
      </c>
      <c r="CE10" s="3">
        <v>0</v>
      </c>
      <c r="CF10" s="3">
        <v>0</v>
      </c>
      <c r="CG10" s="3">
        <v>0</v>
      </c>
    </row>
    <row r="11" spans="6:85" hidden="1" x14ac:dyDescent="0.25">
      <c r="F11" s="12"/>
      <c r="Q11" t="s">
        <v>92</v>
      </c>
      <c r="R11" s="3">
        <v>0</v>
      </c>
      <c r="S11" s="3">
        <v>0</v>
      </c>
      <c r="T11" s="3">
        <v>0</v>
      </c>
      <c r="U11" s="3">
        <v>0</v>
      </c>
      <c r="V11" s="3">
        <v>0</v>
      </c>
      <c r="W11" s="3">
        <v>0</v>
      </c>
      <c r="X11" s="3">
        <v>0</v>
      </c>
      <c r="Y11" s="3">
        <v>0</v>
      </c>
      <c r="Z11" s="3">
        <v>0</v>
      </c>
      <c r="AA11" s="3">
        <v>0.5</v>
      </c>
      <c r="AB11" s="3">
        <v>0.5</v>
      </c>
      <c r="AC11" s="3">
        <v>0</v>
      </c>
      <c r="AD11" s="3">
        <v>0</v>
      </c>
      <c r="AE11" s="3">
        <v>0</v>
      </c>
      <c r="AF11" s="3">
        <v>0</v>
      </c>
      <c r="AG11" s="3">
        <v>0</v>
      </c>
      <c r="AH11" s="3">
        <v>0</v>
      </c>
      <c r="AI11" s="3">
        <v>0</v>
      </c>
      <c r="AJ11" s="3">
        <v>0</v>
      </c>
      <c r="AK11" s="3">
        <v>0</v>
      </c>
      <c r="AL11" s="3">
        <v>0</v>
      </c>
      <c r="AM11" s="3">
        <v>0</v>
      </c>
      <c r="AN11" s="3">
        <v>0</v>
      </c>
      <c r="AO11" s="3">
        <v>0</v>
      </c>
      <c r="AP11" s="3">
        <v>1</v>
      </c>
      <c r="AQ11" s="3">
        <v>0</v>
      </c>
      <c r="AR11" s="3">
        <v>0</v>
      </c>
      <c r="AS11" s="3">
        <v>0</v>
      </c>
      <c r="AT11" s="3">
        <v>0</v>
      </c>
      <c r="AU11" s="3">
        <v>0</v>
      </c>
      <c r="AV11" s="3">
        <v>0</v>
      </c>
      <c r="AW11" s="3">
        <v>0</v>
      </c>
      <c r="AX11" s="3">
        <v>0</v>
      </c>
      <c r="AY11" s="3">
        <v>0</v>
      </c>
      <c r="AZ11" s="3">
        <v>0</v>
      </c>
      <c r="BA11" s="3">
        <v>0</v>
      </c>
      <c r="BB11" s="3">
        <v>0</v>
      </c>
      <c r="BC11" s="3">
        <v>0</v>
      </c>
      <c r="BD11" s="3">
        <v>0</v>
      </c>
      <c r="BE11" s="3">
        <v>0</v>
      </c>
      <c r="BF11" s="3">
        <v>0</v>
      </c>
      <c r="BG11" s="3">
        <v>0</v>
      </c>
      <c r="BH11" s="3">
        <v>1</v>
      </c>
      <c r="BI11" s="3">
        <v>0</v>
      </c>
      <c r="BJ11" s="3">
        <v>0</v>
      </c>
      <c r="BK11" s="3">
        <v>1</v>
      </c>
      <c r="BL11" s="3">
        <v>0</v>
      </c>
      <c r="BM11" s="3">
        <v>0</v>
      </c>
      <c r="BN11" s="3">
        <v>0</v>
      </c>
      <c r="BO11" s="3">
        <v>0</v>
      </c>
      <c r="BP11" s="3">
        <v>0</v>
      </c>
      <c r="BQ11" s="3">
        <v>0</v>
      </c>
      <c r="BR11" s="3">
        <v>0</v>
      </c>
      <c r="BS11" s="3">
        <v>0</v>
      </c>
      <c r="BT11" s="3">
        <v>0</v>
      </c>
      <c r="BU11" s="3">
        <v>0</v>
      </c>
      <c r="BV11" s="3">
        <v>0</v>
      </c>
      <c r="BW11" s="3">
        <v>0</v>
      </c>
      <c r="BX11" s="3">
        <v>0</v>
      </c>
      <c r="BY11" s="3">
        <v>0</v>
      </c>
      <c r="BZ11" s="3">
        <v>0</v>
      </c>
      <c r="CA11" s="3">
        <v>0</v>
      </c>
      <c r="CB11" s="3">
        <v>0</v>
      </c>
      <c r="CC11" s="3">
        <v>0</v>
      </c>
      <c r="CD11" s="3">
        <v>0</v>
      </c>
      <c r="CE11" s="3">
        <v>0</v>
      </c>
      <c r="CF11" s="3">
        <v>0</v>
      </c>
      <c r="CG11" s="3">
        <v>0</v>
      </c>
    </row>
    <row r="12" spans="6:85" hidden="1" x14ac:dyDescent="0.25">
      <c r="F12" s="12"/>
      <c r="Q12" t="s">
        <v>93</v>
      </c>
      <c r="R12" s="3">
        <v>0</v>
      </c>
      <c r="S12" s="3">
        <v>0</v>
      </c>
      <c r="T12" s="3">
        <v>0.2</v>
      </c>
      <c r="U12" s="3">
        <v>0.2</v>
      </c>
      <c r="V12" s="3">
        <v>0</v>
      </c>
      <c r="W12" s="3">
        <v>0.4</v>
      </c>
      <c r="X12" s="3">
        <v>0.2</v>
      </c>
      <c r="Y12" s="3">
        <v>0</v>
      </c>
      <c r="Z12" s="3">
        <v>0</v>
      </c>
      <c r="AA12" s="3">
        <v>0</v>
      </c>
      <c r="AB12" s="3">
        <v>0</v>
      </c>
      <c r="AC12" s="3">
        <v>0</v>
      </c>
      <c r="AD12" s="3">
        <v>0</v>
      </c>
      <c r="AE12" s="3">
        <v>0</v>
      </c>
      <c r="AF12" s="3">
        <v>0</v>
      </c>
      <c r="AG12" s="3">
        <v>0</v>
      </c>
      <c r="AH12" s="3">
        <v>0</v>
      </c>
      <c r="AI12" s="3">
        <v>0</v>
      </c>
      <c r="AJ12" s="3">
        <v>0</v>
      </c>
      <c r="AK12" s="3">
        <v>0</v>
      </c>
      <c r="AL12" s="3">
        <v>0</v>
      </c>
      <c r="AM12" s="3">
        <v>0</v>
      </c>
      <c r="AN12" s="3">
        <v>0</v>
      </c>
      <c r="AO12" s="3">
        <v>0</v>
      </c>
      <c r="AP12" s="3">
        <v>0</v>
      </c>
      <c r="AQ12" s="3">
        <v>0</v>
      </c>
      <c r="AR12" s="3">
        <v>0</v>
      </c>
      <c r="AS12" s="3">
        <v>0</v>
      </c>
      <c r="AT12" s="3">
        <v>0</v>
      </c>
      <c r="AU12" s="3">
        <v>1</v>
      </c>
      <c r="AV12" s="3">
        <v>0</v>
      </c>
      <c r="AW12" s="3">
        <v>0</v>
      </c>
      <c r="AX12" s="3">
        <v>0</v>
      </c>
      <c r="AY12" s="3">
        <v>0</v>
      </c>
      <c r="AZ12" s="3">
        <v>0</v>
      </c>
      <c r="BA12" s="3">
        <v>0.2</v>
      </c>
      <c r="BB12" s="3">
        <v>0.4</v>
      </c>
      <c r="BC12" s="3">
        <v>0.4</v>
      </c>
      <c r="BD12" s="3">
        <v>0</v>
      </c>
      <c r="BE12" s="3">
        <v>0</v>
      </c>
      <c r="BF12" s="3">
        <v>0</v>
      </c>
      <c r="BG12" s="3">
        <v>0</v>
      </c>
      <c r="BH12" s="3">
        <v>0</v>
      </c>
      <c r="BI12" s="3">
        <v>0</v>
      </c>
      <c r="BJ12" s="3">
        <v>0</v>
      </c>
      <c r="BK12" s="3">
        <v>0</v>
      </c>
      <c r="BL12" s="3">
        <v>0</v>
      </c>
      <c r="BM12" s="3">
        <v>0</v>
      </c>
      <c r="BN12" s="3">
        <v>0</v>
      </c>
      <c r="BO12" s="3">
        <v>0</v>
      </c>
      <c r="BP12" s="3">
        <v>0</v>
      </c>
      <c r="BQ12" s="3">
        <v>1</v>
      </c>
      <c r="BR12" s="3">
        <v>0</v>
      </c>
      <c r="BS12" s="3">
        <v>0</v>
      </c>
      <c r="BT12" s="3">
        <v>0</v>
      </c>
      <c r="BU12" s="3">
        <v>0</v>
      </c>
      <c r="BV12" s="3">
        <v>0</v>
      </c>
      <c r="BW12" s="3">
        <v>0</v>
      </c>
      <c r="BX12" s="3">
        <v>0</v>
      </c>
      <c r="BY12" s="3">
        <v>0</v>
      </c>
      <c r="BZ12" s="3">
        <v>0</v>
      </c>
      <c r="CA12" s="3">
        <v>0</v>
      </c>
      <c r="CB12" s="3">
        <v>0</v>
      </c>
      <c r="CC12" s="3">
        <v>0</v>
      </c>
      <c r="CD12" s="3">
        <v>0</v>
      </c>
      <c r="CE12" s="3">
        <v>0</v>
      </c>
      <c r="CF12" s="3">
        <v>0</v>
      </c>
      <c r="CG12" s="3">
        <v>0</v>
      </c>
    </row>
    <row r="13" spans="6:85" hidden="1" x14ac:dyDescent="0.25">
      <c r="F13" s="12"/>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row>
    <row r="14" spans="6:85" hidden="1" x14ac:dyDescent="0.25">
      <c r="F14" s="2"/>
    </row>
    <row r="15" spans="6:85" hidden="1" x14ac:dyDescent="0.25">
      <c r="R15" t="s">
        <v>67</v>
      </c>
      <c r="S15" t="s">
        <v>66</v>
      </c>
      <c r="T15" t="s">
        <v>65</v>
      </c>
      <c r="U15" t="s">
        <v>64</v>
      </c>
      <c r="V15" t="s">
        <v>63</v>
      </c>
      <c r="W15" t="s">
        <v>62</v>
      </c>
      <c r="X15" t="s">
        <v>61</v>
      </c>
      <c r="Y15" t="s">
        <v>60</v>
      </c>
      <c r="Z15" t="s">
        <v>59</v>
      </c>
      <c r="AA15" t="s">
        <v>58</v>
      </c>
      <c r="AB15" t="s">
        <v>57</v>
      </c>
      <c r="AC15" t="s">
        <v>56</v>
      </c>
      <c r="AD15" t="s">
        <v>55</v>
      </c>
      <c r="AE15" t="s">
        <v>54</v>
      </c>
      <c r="AF15" t="s">
        <v>53</v>
      </c>
      <c r="AG15" t="s">
        <v>52</v>
      </c>
      <c r="AH15" t="s">
        <v>51</v>
      </c>
      <c r="AI15" t="s">
        <v>50</v>
      </c>
      <c r="AJ15" t="s">
        <v>49</v>
      </c>
      <c r="AK15" t="s">
        <v>48</v>
      </c>
      <c r="AL15" t="s">
        <v>47</v>
      </c>
      <c r="AM15" t="s">
        <v>46</v>
      </c>
      <c r="AN15" t="s">
        <v>45</v>
      </c>
      <c r="AO15" t="s">
        <v>44</v>
      </c>
      <c r="AP15" t="s">
        <v>43</v>
      </c>
      <c r="AQ15" t="s">
        <v>42</v>
      </c>
      <c r="AR15" t="s">
        <v>41</v>
      </c>
      <c r="AS15" t="s">
        <v>40</v>
      </c>
      <c r="AT15" t="s">
        <v>39</v>
      </c>
      <c r="AU15" t="s">
        <v>38</v>
      </c>
      <c r="AV15" t="s">
        <v>37</v>
      </c>
      <c r="AW15" t="s">
        <v>36</v>
      </c>
      <c r="AX15" t="s">
        <v>35</v>
      </c>
      <c r="AY15" t="s">
        <v>34</v>
      </c>
      <c r="AZ15" t="s">
        <v>33</v>
      </c>
      <c r="BA15" t="s">
        <v>32</v>
      </c>
      <c r="BB15" t="s">
        <v>31</v>
      </c>
      <c r="BC15" t="s">
        <v>30</v>
      </c>
      <c r="BD15" t="s">
        <v>29</v>
      </c>
      <c r="BE15" t="s">
        <v>28</v>
      </c>
      <c r="BF15" t="s">
        <v>27</v>
      </c>
      <c r="BG15" t="s">
        <v>26</v>
      </c>
      <c r="BH15" t="s">
        <v>25</v>
      </c>
      <c r="BI15" t="s">
        <v>24</v>
      </c>
      <c r="BJ15" t="s">
        <v>23</v>
      </c>
      <c r="BK15" t="s">
        <v>22</v>
      </c>
      <c r="BL15" t="s">
        <v>21</v>
      </c>
      <c r="BM15" t="s">
        <v>20</v>
      </c>
      <c r="BN15" t="s">
        <v>19</v>
      </c>
      <c r="BO15" t="s">
        <v>18</v>
      </c>
      <c r="BP15" t="s">
        <v>17</v>
      </c>
      <c r="BQ15" t="s">
        <v>16</v>
      </c>
      <c r="BR15" t="s">
        <v>15</v>
      </c>
      <c r="BS15" t="s">
        <v>14</v>
      </c>
      <c r="BT15" t="s">
        <v>13</v>
      </c>
      <c r="BU15" t="s">
        <v>12</v>
      </c>
      <c r="BV15" t="s">
        <v>11</v>
      </c>
      <c r="BW15" t="s">
        <v>10</v>
      </c>
      <c r="BX15" t="s">
        <v>9</v>
      </c>
      <c r="BY15" t="s">
        <v>8</v>
      </c>
      <c r="BZ15" t="s">
        <v>7</v>
      </c>
      <c r="CA15" t="s">
        <v>6</v>
      </c>
      <c r="CB15" t="s">
        <v>5</v>
      </c>
      <c r="CC15" t="s">
        <v>4</v>
      </c>
      <c r="CD15" t="s">
        <v>3</v>
      </c>
      <c r="CE15" t="s">
        <v>2</v>
      </c>
      <c r="CF15" t="s">
        <v>1</v>
      </c>
      <c r="CG15" t="s">
        <v>0</v>
      </c>
    </row>
    <row r="16" spans="6:85" hidden="1" x14ac:dyDescent="0.25">
      <c r="Q16" t="s">
        <v>76</v>
      </c>
      <c r="R16">
        <f t="shared" ref="R16:AW16" ca="1" si="0">IFERROR(AVERAGEIF($E$35:$E$76,VALUE(RIGHT($Q3,2)),R$35:R$76),0)</f>
        <v>0</v>
      </c>
      <c r="S16">
        <f t="shared" ca="1" si="0"/>
        <v>0</v>
      </c>
      <c r="T16">
        <f t="shared" ca="1" si="0"/>
        <v>0</v>
      </c>
      <c r="U16">
        <f t="shared" ca="1" si="0"/>
        <v>0</v>
      </c>
      <c r="V16">
        <f t="shared" ca="1" si="0"/>
        <v>0</v>
      </c>
      <c r="W16">
        <f t="shared" ca="1" si="0"/>
        <v>0</v>
      </c>
      <c r="X16">
        <f t="shared" ca="1" si="0"/>
        <v>0</v>
      </c>
      <c r="Y16">
        <f t="shared" ca="1" si="0"/>
        <v>0</v>
      </c>
      <c r="Z16">
        <f t="shared" ca="1" si="0"/>
        <v>0</v>
      </c>
      <c r="AA16">
        <f t="shared" ca="1" si="0"/>
        <v>0</v>
      </c>
      <c r="AB16">
        <f t="shared" ca="1" si="0"/>
        <v>0.66666666666666663</v>
      </c>
      <c r="AC16">
        <f t="shared" ca="1" si="0"/>
        <v>0</v>
      </c>
      <c r="AD16">
        <f t="shared" ca="1" si="0"/>
        <v>0.33333333333333331</v>
      </c>
      <c r="AE16">
        <f t="shared" ca="1" si="0"/>
        <v>0</v>
      </c>
      <c r="AF16">
        <f t="shared" ca="1" si="0"/>
        <v>0</v>
      </c>
      <c r="AG16">
        <f t="shared" ca="1" si="0"/>
        <v>0</v>
      </c>
      <c r="AH16">
        <f t="shared" ca="1" si="0"/>
        <v>0</v>
      </c>
      <c r="AI16">
        <f t="shared" ca="1" si="0"/>
        <v>0</v>
      </c>
      <c r="AJ16">
        <f t="shared" ca="1" si="0"/>
        <v>0</v>
      </c>
      <c r="AK16">
        <f t="shared" ca="1" si="0"/>
        <v>0</v>
      </c>
      <c r="AL16">
        <f t="shared" ca="1" si="0"/>
        <v>0</v>
      </c>
      <c r="AM16">
        <f t="shared" ca="1" si="0"/>
        <v>0</v>
      </c>
      <c r="AN16">
        <f t="shared" ca="1" si="0"/>
        <v>0</v>
      </c>
      <c r="AO16">
        <f t="shared" ca="1" si="0"/>
        <v>0</v>
      </c>
      <c r="AP16">
        <f t="shared" ca="1" si="0"/>
        <v>0</v>
      </c>
      <c r="AQ16">
        <f t="shared" ca="1" si="0"/>
        <v>0</v>
      </c>
      <c r="AR16">
        <f t="shared" ca="1" si="0"/>
        <v>0.33333333333333331</v>
      </c>
      <c r="AS16">
        <f t="shared" ca="1" si="0"/>
        <v>0</v>
      </c>
      <c r="AT16">
        <f t="shared" ca="1" si="0"/>
        <v>0</v>
      </c>
      <c r="AU16">
        <f t="shared" ca="1" si="0"/>
        <v>0</v>
      </c>
      <c r="AV16">
        <f t="shared" ca="1" si="0"/>
        <v>0.33333333333333331</v>
      </c>
      <c r="AW16">
        <f t="shared" ca="1" si="0"/>
        <v>0.33333333333333331</v>
      </c>
      <c r="AX16">
        <f t="shared" ref="AX16:CG16" ca="1" si="1">IFERROR(AVERAGEIF($E$35:$E$76,VALUE(RIGHT($Q3,2)),AX$35:AX$76),0)</f>
        <v>0</v>
      </c>
      <c r="AY16">
        <f t="shared" ca="1" si="1"/>
        <v>0</v>
      </c>
      <c r="AZ16">
        <f t="shared" ca="1" si="1"/>
        <v>0</v>
      </c>
      <c r="BA16">
        <f t="shared" ca="1" si="1"/>
        <v>0.66666666666666663</v>
      </c>
      <c r="BB16">
        <f t="shared" ca="1" si="1"/>
        <v>0</v>
      </c>
      <c r="BC16">
        <f t="shared" ca="1" si="1"/>
        <v>0</v>
      </c>
      <c r="BD16">
        <f t="shared" ca="1" si="1"/>
        <v>0</v>
      </c>
      <c r="BE16">
        <f t="shared" ca="1" si="1"/>
        <v>0</v>
      </c>
      <c r="BF16">
        <f t="shared" ca="1" si="1"/>
        <v>0</v>
      </c>
      <c r="BG16">
        <f t="shared" ca="1" si="1"/>
        <v>0.33333333333333331</v>
      </c>
      <c r="BH16">
        <f t="shared" ca="1" si="1"/>
        <v>0</v>
      </c>
      <c r="BI16">
        <f t="shared" ca="1" si="1"/>
        <v>0</v>
      </c>
      <c r="BJ16">
        <f t="shared" ca="1" si="1"/>
        <v>0</v>
      </c>
      <c r="BK16">
        <f t="shared" ca="1" si="1"/>
        <v>0</v>
      </c>
      <c r="BL16">
        <f t="shared" ca="1" si="1"/>
        <v>0</v>
      </c>
      <c r="BM16">
        <f t="shared" ca="1" si="1"/>
        <v>0</v>
      </c>
      <c r="BN16">
        <f t="shared" ca="1" si="1"/>
        <v>0</v>
      </c>
      <c r="BO16">
        <f t="shared" ca="1" si="1"/>
        <v>0.33333333333333331</v>
      </c>
      <c r="BP16">
        <f t="shared" ca="1" si="1"/>
        <v>0</v>
      </c>
      <c r="BQ16">
        <f t="shared" ca="1" si="1"/>
        <v>0</v>
      </c>
      <c r="BR16">
        <f t="shared" ca="1" si="1"/>
        <v>0</v>
      </c>
      <c r="BS16">
        <f t="shared" ca="1" si="1"/>
        <v>0.66666666666666663</v>
      </c>
      <c r="BT16">
        <f t="shared" ca="1" si="1"/>
        <v>0</v>
      </c>
      <c r="BU16">
        <f t="shared" ca="1" si="1"/>
        <v>0</v>
      </c>
      <c r="BV16">
        <f t="shared" ca="1" si="1"/>
        <v>0</v>
      </c>
      <c r="BW16">
        <f t="shared" ca="1" si="1"/>
        <v>0</v>
      </c>
      <c r="BX16">
        <f t="shared" ca="1" si="1"/>
        <v>0</v>
      </c>
      <c r="BY16">
        <f t="shared" ca="1" si="1"/>
        <v>0</v>
      </c>
      <c r="BZ16">
        <f t="shared" ca="1" si="1"/>
        <v>0</v>
      </c>
      <c r="CA16">
        <f t="shared" ca="1" si="1"/>
        <v>0</v>
      </c>
      <c r="CB16">
        <f t="shared" ca="1" si="1"/>
        <v>0</v>
      </c>
      <c r="CC16">
        <f t="shared" ca="1" si="1"/>
        <v>0</v>
      </c>
      <c r="CD16">
        <f t="shared" ca="1" si="1"/>
        <v>0</v>
      </c>
      <c r="CE16">
        <f t="shared" ca="1" si="1"/>
        <v>0</v>
      </c>
      <c r="CF16">
        <f t="shared" ca="1" si="1"/>
        <v>0</v>
      </c>
      <c r="CG16">
        <f t="shared" ca="1" si="1"/>
        <v>0</v>
      </c>
    </row>
    <row r="17" spans="6:85" hidden="1" x14ac:dyDescent="0.25">
      <c r="Q17" t="s">
        <v>75</v>
      </c>
      <c r="R17">
        <f t="shared" ref="R17:AW17" ca="1" si="2">IFERROR(AVERAGEIF($E$35:$E$76,VALUE(RIGHT($Q4,2)),R$35:R$76),0)</f>
        <v>0</v>
      </c>
      <c r="S17">
        <f t="shared" ca="1" si="2"/>
        <v>0</v>
      </c>
      <c r="T17">
        <f t="shared" ca="1" si="2"/>
        <v>0</v>
      </c>
      <c r="U17">
        <f t="shared" ca="1" si="2"/>
        <v>0</v>
      </c>
      <c r="V17">
        <f t="shared" ca="1" si="2"/>
        <v>0</v>
      </c>
      <c r="W17">
        <f t="shared" ca="1" si="2"/>
        <v>0.33333333333333331</v>
      </c>
      <c r="X17">
        <f t="shared" ca="1" si="2"/>
        <v>0</v>
      </c>
      <c r="Y17">
        <f t="shared" ca="1" si="2"/>
        <v>0.5</v>
      </c>
      <c r="Z17">
        <f t="shared" ca="1" si="2"/>
        <v>0</v>
      </c>
      <c r="AA17">
        <f t="shared" ca="1" si="2"/>
        <v>0</v>
      </c>
      <c r="AB17">
        <f t="shared" ca="1" si="2"/>
        <v>0</v>
      </c>
      <c r="AC17">
        <f t="shared" ca="1" si="2"/>
        <v>0</v>
      </c>
      <c r="AD17">
        <f t="shared" ca="1" si="2"/>
        <v>0</v>
      </c>
      <c r="AE17">
        <f t="shared" ca="1" si="2"/>
        <v>0.16666666666666666</v>
      </c>
      <c r="AF17">
        <f t="shared" ca="1" si="2"/>
        <v>0</v>
      </c>
      <c r="AG17">
        <f t="shared" ca="1" si="2"/>
        <v>0</v>
      </c>
      <c r="AH17">
        <f t="shared" ca="1" si="2"/>
        <v>0</v>
      </c>
      <c r="AI17">
        <f t="shared" ca="1" si="2"/>
        <v>0</v>
      </c>
      <c r="AJ17">
        <f t="shared" ca="1" si="2"/>
        <v>0</v>
      </c>
      <c r="AK17">
        <f t="shared" ca="1" si="2"/>
        <v>0</v>
      </c>
      <c r="AL17">
        <f t="shared" ca="1" si="2"/>
        <v>0</v>
      </c>
      <c r="AM17">
        <f t="shared" ca="1" si="2"/>
        <v>0</v>
      </c>
      <c r="AN17">
        <f t="shared" ca="1" si="2"/>
        <v>0</v>
      </c>
      <c r="AO17">
        <f t="shared" ca="1" si="2"/>
        <v>0</v>
      </c>
      <c r="AP17">
        <f t="shared" ca="1" si="2"/>
        <v>0</v>
      </c>
      <c r="AQ17">
        <f t="shared" ca="1" si="2"/>
        <v>0</v>
      </c>
      <c r="AR17">
        <f t="shared" ca="1" si="2"/>
        <v>0</v>
      </c>
      <c r="AS17">
        <f t="shared" ca="1" si="2"/>
        <v>0.83333333333333337</v>
      </c>
      <c r="AT17">
        <f t="shared" ca="1" si="2"/>
        <v>0</v>
      </c>
      <c r="AU17">
        <f t="shared" ca="1" si="2"/>
        <v>0</v>
      </c>
      <c r="AV17">
        <f t="shared" ca="1" si="2"/>
        <v>0</v>
      </c>
      <c r="AW17">
        <f t="shared" ca="1" si="2"/>
        <v>0</v>
      </c>
      <c r="AX17">
        <f t="shared" ref="AX17:CG17" ca="1" si="3">IFERROR(AVERAGEIF($E$35:$E$76,VALUE(RIGHT($Q4,2)),AX$35:AX$76),0)</f>
        <v>0.16666666666666666</v>
      </c>
      <c r="AY17">
        <f t="shared" ca="1" si="3"/>
        <v>0</v>
      </c>
      <c r="AZ17">
        <f t="shared" ca="1" si="3"/>
        <v>0</v>
      </c>
      <c r="BA17">
        <f t="shared" ca="1" si="3"/>
        <v>0.66666666666666663</v>
      </c>
      <c r="BB17">
        <f t="shared" ca="1" si="3"/>
        <v>0</v>
      </c>
      <c r="BC17">
        <f t="shared" ca="1" si="3"/>
        <v>0</v>
      </c>
      <c r="BD17">
        <f t="shared" ca="1" si="3"/>
        <v>0</v>
      </c>
      <c r="BE17">
        <f t="shared" ca="1" si="3"/>
        <v>0.16666666666666666</v>
      </c>
      <c r="BF17">
        <f t="shared" ca="1" si="3"/>
        <v>0.16666666666666666</v>
      </c>
      <c r="BG17">
        <f t="shared" ca="1" si="3"/>
        <v>0</v>
      </c>
      <c r="BH17">
        <f t="shared" ca="1" si="3"/>
        <v>0</v>
      </c>
      <c r="BI17">
        <f t="shared" ca="1" si="3"/>
        <v>0</v>
      </c>
      <c r="BJ17">
        <f t="shared" ca="1" si="3"/>
        <v>0</v>
      </c>
      <c r="BK17">
        <f t="shared" ca="1" si="3"/>
        <v>0</v>
      </c>
      <c r="BL17">
        <f t="shared" ca="1" si="3"/>
        <v>0</v>
      </c>
      <c r="BM17">
        <f t="shared" ca="1" si="3"/>
        <v>0</v>
      </c>
      <c r="BN17">
        <f t="shared" ca="1" si="3"/>
        <v>0.16666666666666666</v>
      </c>
      <c r="BO17">
        <f t="shared" ca="1" si="3"/>
        <v>0</v>
      </c>
      <c r="BP17">
        <f t="shared" ca="1" si="3"/>
        <v>0.16666666666666666</v>
      </c>
      <c r="BQ17">
        <f t="shared" ca="1" si="3"/>
        <v>0</v>
      </c>
      <c r="BR17">
        <f t="shared" ca="1" si="3"/>
        <v>0.5</v>
      </c>
      <c r="BS17">
        <f t="shared" ca="1" si="3"/>
        <v>0</v>
      </c>
      <c r="BT17">
        <f t="shared" ca="1" si="3"/>
        <v>0</v>
      </c>
      <c r="BU17">
        <f t="shared" ca="1" si="3"/>
        <v>0</v>
      </c>
      <c r="BV17">
        <f t="shared" ca="1" si="3"/>
        <v>0.16666666666666666</v>
      </c>
      <c r="BW17">
        <f t="shared" ca="1" si="3"/>
        <v>0</v>
      </c>
      <c r="BX17">
        <f t="shared" ca="1" si="3"/>
        <v>0</v>
      </c>
      <c r="BY17">
        <f t="shared" ca="1" si="3"/>
        <v>0</v>
      </c>
      <c r="BZ17">
        <f t="shared" ca="1" si="3"/>
        <v>0</v>
      </c>
      <c r="CA17">
        <f t="shared" ca="1" si="3"/>
        <v>0</v>
      </c>
      <c r="CB17">
        <f t="shared" ca="1" si="3"/>
        <v>0</v>
      </c>
      <c r="CC17">
        <f t="shared" ca="1" si="3"/>
        <v>0</v>
      </c>
      <c r="CD17">
        <f t="shared" ca="1" si="3"/>
        <v>0</v>
      </c>
      <c r="CE17">
        <f t="shared" ca="1" si="3"/>
        <v>0</v>
      </c>
      <c r="CF17">
        <f t="shared" ca="1" si="3"/>
        <v>0</v>
      </c>
      <c r="CG17">
        <f t="shared" ca="1" si="3"/>
        <v>0</v>
      </c>
    </row>
    <row r="18" spans="6:85" hidden="1" x14ac:dyDescent="0.25">
      <c r="Q18" t="s">
        <v>74</v>
      </c>
      <c r="R18">
        <f t="shared" ref="R18:AW18" ca="1" si="4">IFERROR(AVERAGEIF($E$35:$E$76,VALUE(RIGHT($Q5,2)),R$35:R$76),0)</f>
        <v>0</v>
      </c>
      <c r="S18">
        <f t="shared" ca="1" si="4"/>
        <v>0</v>
      </c>
      <c r="T18">
        <f t="shared" ca="1" si="4"/>
        <v>0</v>
      </c>
      <c r="U18">
        <f t="shared" ca="1" si="4"/>
        <v>0</v>
      </c>
      <c r="V18">
        <f t="shared" ca="1" si="4"/>
        <v>0</v>
      </c>
      <c r="W18">
        <f t="shared" ca="1" si="4"/>
        <v>0.8</v>
      </c>
      <c r="X18">
        <f t="shared" ca="1" si="4"/>
        <v>0.2</v>
      </c>
      <c r="Y18">
        <f t="shared" ca="1" si="4"/>
        <v>0</v>
      </c>
      <c r="Z18">
        <f t="shared" ca="1" si="4"/>
        <v>0</v>
      </c>
      <c r="AA18">
        <f t="shared" ca="1" si="4"/>
        <v>0</v>
      </c>
      <c r="AB18">
        <f t="shared" ca="1" si="4"/>
        <v>0</v>
      </c>
      <c r="AC18">
        <f t="shared" ca="1" si="4"/>
        <v>0</v>
      </c>
      <c r="AD18">
        <f t="shared" ca="1" si="4"/>
        <v>0</v>
      </c>
      <c r="AE18">
        <f t="shared" ca="1" si="4"/>
        <v>0</v>
      </c>
      <c r="AF18">
        <f t="shared" ca="1" si="4"/>
        <v>0</v>
      </c>
      <c r="AG18">
        <f t="shared" ca="1" si="4"/>
        <v>0</v>
      </c>
      <c r="AH18">
        <f t="shared" ca="1" si="4"/>
        <v>0</v>
      </c>
      <c r="AI18">
        <f t="shared" ca="1" si="4"/>
        <v>0</v>
      </c>
      <c r="AJ18">
        <f t="shared" ca="1" si="4"/>
        <v>0</v>
      </c>
      <c r="AK18">
        <f t="shared" ca="1" si="4"/>
        <v>0</v>
      </c>
      <c r="AL18">
        <f t="shared" ca="1" si="4"/>
        <v>0</v>
      </c>
      <c r="AM18">
        <f t="shared" ca="1" si="4"/>
        <v>0</v>
      </c>
      <c r="AN18">
        <f t="shared" ca="1" si="4"/>
        <v>0</v>
      </c>
      <c r="AO18">
        <f t="shared" ca="1" si="4"/>
        <v>0</v>
      </c>
      <c r="AP18">
        <f t="shared" ca="1" si="4"/>
        <v>0</v>
      </c>
      <c r="AQ18">
        <f t="shared" ca="1" si="4"/>
        <v>0</v>
      </c>
      <c r="AR18">
        <f t="shared" ca="1" si="4"/>
        <v>0</v>
      </c>
      <c r="AS18">
        <f t="shared" ca="1" si="4"/>
        <v>0.2</v>
      </c>
      <c r="AT18">
        <f t="shared" ca="1" si="4"/>
        <v>0.2</v>
      </c>
      <c r="AU18">
        <f t="shared" ca="1" si="4"/>
        <v>0</v>
      </c>
      <c r="AV18">
        <f t="shared" ca="1" si="4"/>
        <v>0.6</v>
      </c>
      <c r="AW18">
        <f t="shared" ca="1" si="4"/>
        <v>0</v>
      </c>
      <c r="AX18">
        <f t="shared" ref="AX18:CG18" ca="1" si="5">IFERROR(AVERAGEIF($E$35:$E$76,VALUE(RIGHT($Q5,2)),AX$35:AX$76),0)</f>
        <v>0</v>
      </c>
      <c r="AY18">
        <f t="shared" ca="1" si="5"/>
        <v>0</v>
      </c>
      <c r="AZ18">
        <f t="shared" ca="1" si="5"/>
        <v>1</v>
      </c>
      <c r="BA18">
        <f t="shared" ca="1" si="5"/>
        <v>0</v>
      </c>
      <c r="BB18">
        <f t="shared" ca="1" si="5"/>
        <v>0</v>
      </c>
      <c r="BC18">
        <f t="shared" ca="1" si="5"/>
        <v>0</v>
      </c>
      <c r="BD18">
        <f t="shared" ca="1" si="5"/>
        <v>0</v>
      </c>
      <c r="BE18">
        <f t="shared" ca="1" si="5"/>
        <v>0</v>
      </c>
      <c r="BF18">
        <f t="shared" ca="1" si="5"/>
        <v>0</v>
      </c>
      <c r="BG18">
        <f t="shared" ca="1" si="5"/>
        <v>0</v>
      </c>
      <c r="BH18">
        <f t="shared" ca="1" si="5"/>
        <v>0</v>
      </c>
      <c r="BI18">
        <f t="shared" ca="1" si="5"/>
        <v>0</v>
      </c>
      <c r="BJ18">
        <f t="shared" ca="1" si="5"/>
        <v>0</v>
      </c>
      <c r="BK18">
        <f t="shared" ca="1" si="5"/>
        <v>0</v>
      </c>
      <c r="BL18">
        <f t="shared" ca="1" si="5"/>
        <v>0</v>
      </c>
      <c r="BM18">
        <f t="shared" ca="1" si="5"/>
        <v>0</v>
      </c>
      <c r="BN18">
        <f t="shared" ca="1" si="5"/>
        <v>0</v>
      </c>
      <c r="BO18">
        <f t="shared" ca="1" si="5"/>
        <v>0</v>
      </c>
      <c r="BP18">
        <f t="shared" ca="1" si="5"/>
        <v>0</v>
      </c>
      <c r="BQ18">
        <f t="shared" ca="1" si="5"/>
        <v>1</v>
      </c>
      <c r="BR18">
        <f t="shared" ca="1" si="5"/>
        <v>0</v>
      </c>
      <c r="BS18">
        <f t="shared" ca="1" si="5"/>
        <v>0</v>
      </c>
      <c r="BT18">
        <f t="shared" ca="1" si="5"/>
        <v>0</v>
      </c>
      <c r="BU18">
        <f t="shared" ca="1" si="5"/>
        <v>0</v>
      </c>
      <c r="BV18">
        <f t="shared" ca="1" si="5"/>
        <v>0</v>
      </c>
      <c r="BW18">
        <f t="shared" ca="1" si="5"/>
        <v>0</v>
      </c>
      <c r="BX18">
        <f t="shared" ca="1" si="5"/>
        <v>0</v>
      </c>
      <c r="BY18">
        <f t="shared" ca="1" si="5"/>
        <v>0</v>
      </c>
      <c r="BZ18">
        <f t="shared" ca="1" si="5"/>
        <v>0</v>
      </c>
      <c r="CA18">
        <f t="shared" ca="1" si="5"/>
        <v>0</v>
      </c>
      <c r="CB18">
        <f t="shared" ca="1" si="5"/>
        <v>0</v>
      </c>
      <c r="CC18">
        <f t="shared" ca="1" si="5"/>
        <v>0</v>
      </c>
      <c r="CD18">
        <f t="shared" ca="1" si="5"/>
        <v>0</v>
      </c>
      <c r="CE18">
        <f t="shared" ca="1" si="5"/>
        <v>0</v>
      </c>
      <c r="CF18">
        <f t="shared" ca="1" si="5"/>
        <v>0</v>
      </c>
      <c r="CG18">
        <f t="shared" ca="1" si="5"/>
        <v>0</v>
      </c>
    </row>
    <row r="19" spans="6:85" hidden="1" x14ac:dyDescent="0.25">
      <c r="Q19" t="s">
        <v>87</v>
      </c>
      <c r="R19">
        <f t="shared" ref="R19:AW19" ca="1" si="6">IFERROR(AVERAGEIF($E$35:$E$76,VALUE(RIGHT($Q6,2)),R$35:R$76),0)</f>
        <v>0</v>
      </c>
      <c r="S19">
        <f t="shared" ca="1" si="6"/>
        <v>0</v>
      </c>
      <c r="T19">
        <f t="shared" ca="1" si="6"/>
        <v>0</v>
      </c>
      <c r="U19">
        <f t="shared" ca="1" si="6"/>
        <v>0.33333333333333331</v>
      </c>
      <c r="V19">
        <f t="shared" ca="1" si="6"/>
        <v>0</v>
      </c>
      <c r="W19">
        <f t="shared" ca="1" si="6"/>
        <v>0</v>
      </c>
      <c r="X19">
        <f t="shared" ca="1" si="6"/>
        <v>0</v>
      </c>
      <c r="Y19">
        <f t="shared" ca="1" si="6"/>
        <v>0</v>
      </c>
      <c r="Z19">
        <f t="shared" ca="1" si="6"/>
        <v>0</v>
      </c>
      <c r="AA19">
        <f t="shared" ca="1" si="6"/>
        <v>0.33333333333333331</v>
      </c>
      <c r="AB19">
        <f t="shared" ca="1" si="6"/>
        <v>0</v>
      </c>
      <c r="AC19">
        <f t="shared" ca="1" si="6"/>
        <v>0</v>
      </c>
      <c r="AD19">
        <f t="shared" ca="1" si="6"/>
        <v>0</v>
      </c>
      <c r="AE19">
        <f t="shared" ca="1" si="6"/>
        <v>0.33333333333333331</v>
      </c>
      <c r="AF19">
        <f t="shared" ca="1" si="6"/>
        <v>0</v>
      </c>
      <c r="AG19">
        <f t="shared" ca="1" si="6"/>
        <v>0</v>
      </c>
      <c r="AH19">
        <f t="shared" ca="1" si="6"/>
        <v>0</v>
      </c>
      <c r="AI19">
        <f t="shared" ca="1" si="6"/>
        <v>0</v>
      </c>
      <c r="AJ19">
        <f t="shared" ca="1" si="6"/>
        <v>0</v>
      </c>
      <c r="AK19">
        <f t="shared" ca="1" si="6"/>
        <v>0</v>
      </c>
      <c r="AL19">
        <f t="shared" ca="1" si="6"/>
        <v>0</v>
      </c>
      <c r="AM19">
        <f t="shared" ca="1" si="6"/>
        <v>0</v>
      </c>
      <c r="AN19">
        <f t="shared" ca="1" si="6"/>
        <v>0</v>
      </c>
      <c r="AO19">
        <f t="shared" ca="1" si="6"/>
        <v>0</v>
      </c>
      <c r="AP19">
        <f t="shared" ca="1" si="6"/>
        <v>0</v>
      </c>
      <c r="AQ19">
        <f t="shared" ca="1" si="6"/>
        <v>0</v>
      </c>
      <c r="AR19">
        <f t="shared" ca="1" si="6"/>
        <v>1</v>
      </c>
      <c r="AS19">
        <f t="shared" ca="1" si="6"/>
        <v>0</v>
      </c>
      <c r="AT19">
        <f t="shared" ca="1" si="6"/>
        <v>0</v>
      </c>
      <c r="AU19">
        <f t="shared" ca="1" si="6"/>
        <v>0</v>
      </c>
      <c r="AV19">
        <f t="shared" ca="1" si="6"/>
        <v>0</v>
      </c>
      <c r="AW19">
        <f t="shared" ca="1" si="6"/>
        <v>0</v>
      </c>
      <c r="AX19">
        <f t="shared" ref="AX19:CG19" ca="1" si="7">IFERROR(AVERAGEIF($E$35:$E$76,VALUE(RIGHT($Q6,2)),AX$35:AX$76),0)</f>
        <v>0</v>
      </c>
      <c r="AY19">
        <f t="shared" ca="1" si="7"/>
        <v>0</v>
      </c>
      <c r="AZ19">
        <f t="shared" ca="1" si="7"/>
        <v>0.33333333333333331</v>
      </c>
      <c r="BA19">
        <f t="shared" ca="1" si="7"/>
        <v>0</v>
      </c>
      <c r="BB19">
        <f t="shared" ca="1" si="7"/>
        <v>0</v>
      </c>
      <c r="BC19">
        <f t="shared" ca="1" si="7"/>
        <v>0</v>
      </c>
      <c r="BD19">
        <f t="shared" ca="1" si="7"/>
        <v>0</v>
      </c>
      <c r="BE19">
        <f t="shared" ca="1" si="7"/>
        <v>0</v>
      </c>
      <c r="BF19">
        <f t="shared" ca="1" si="7"/>
        <v>0</v>
      </c>
      <c r="BG19">
        <f t="shared" ca="1" si="7"/>
        <v>0</v>
      </c>
      <c r="BH19">
        <f t="shared" ca="1" si="7"/>
        <v>0.66666666666666663</v>
      </c>
      <c r="BI19">
        <f t="shared" ca="1" si="7"/>
        <v>0</v>
      </c>
      <c r="BJ19">
        <f t="shared" ca="1" si="7"/>
        <v>0</v>
      </c>
      <c r="BK19">
        <f t="shared" ca="1" si="7"/>
        <v>0</v>
      </c>
      <c r="BL19">
        <f t="shared" ca="1" si="7"/>
        <v>0</v>
      </c>
      <c r="BM19">
        <f t="shared" ca="1" si="7"/>
        <v>0.33333333333333331</v>
      </c>
      <c r="BN19">
        <f t="shared" ca="1" si="7"/>
        <v>0.33333333333333331</v>
      </c>
      <c r="BO19">
        <f t="shared" ca="1" si="7"/>
        <v>0</v>
      </c>
      <c r="BP19">
        <f t="shared" ca="1" si="7"/>
        <v>0</v>
      </c>
      <c r="BQ19">
        <f t="shared" ca="1" si="7"/>
        <v>0</v>
      </c>
      <c r="BR19">
        <f t="shared" ca="1" si="7"/>
        <v>0.33333333333333331</v>
      </c>
      <c r="BS19">
        <f t="shared" ca="1" si="7"/>
        <v>0</v>
      </c>
      <c r="BT19">
        <f t="shared" ca="1" si="7"/>
        <v>0</v>
      </c>
      <c r="BU19">
        <f t="shared" ca="1" si="7"/>
        <v>0</v>
      </c>
      <c r="BV19">
        <f t="shared" ca="1" si="7"/>
        <v>0</v>
      </c>
      <c r="BW19">
        <f t="shared" ca="1" si="7"/>
        <v>0</v>
      </c>
      <c r="BX19">
        <f t="shared" ca="1" si="7"/>
        <v>0</v>
      </c>
      <c r="BY19">
        <f t="shared" ca="1" si="7"/>
        <v>0</v>
      </c>
      <c r="BZ19">
        <f t="shared" ca="1" si="7"/>
        <v>0</v>
      </c>
      <c r="CA19">
        <f t="shared" ca="1" si="7"/>
        <v>0</v>
      </c>
      <c r="CB19">
        <f t="shared" ca="1" si="7"/>
        <v>0</v>
      </c>
      <c r="CC19">
        <f t="shared" ca="1" si="7"/>
        <v>0</v>
      </c>
      <c r="CD19">
        <f t="shared" ca="1" si="7"/>
        <v>0</v>
      </c>
      <c r="CE19">
        <f t="shared" ca="1" si="7"/>
        <v>0</v>
      </c>
      <c r="CF19">
        <f t="shared" ca="1" si="7"/>
        <v>0</v>
      </c>
      <c r="CG19">
        <f t="shared" ca="1" si="7"/>
        <v>0</v>
      </c>
    </row>
    <row r="20" spans="6:85" hidden="1" x14ac:dyDescent="0.25">
      <c r="F20" s="2"/>
      <c r="Q20" t="s">
        <v>88</v>
      </c>
      <c r="R20">
        <f t="shared" ref="R20:AW20" ca="1" si="8">IFERROR(AVERAGEIF($E$35:$E$76,VALUE(RIGHT($Q7,2)),R$35:R$76),0)</f>
        <v>0</v>
      </c>
      <c r="S20">
        <f t="shared" ca="1" si="8"/>
        <v>0</v>
      </c>
      <c r="T20">
        <f t="shared" ca="1" si="8"/>
        <v>0.4</v>
      </c>
      <c r="U20">
        <f t="shared" ca="1" si="8"/>
        <v>0</v>
      </c>
      <c r="V20">
        <f t="shared" ca="1" si="8"/>
        <v>0.2</v>
      </c>
      <c r="W20">
        <f t="shared" ca="1" si="8"/>
        <v>0.2</v>
      </c>
      <c r="X20">
        <f t="shared" ca="1" si="8"/>
        <v>0</v>
      </c>
      <c r="Y20">
        <f t="shared" ca="1" si="8"/>
        <v>0</v>
      </c>
      <c r="Z20">
        <f t="shared" ca="1" si="8"/>
        <v>0</v>
      </c>
      <c r="AA20">
        <f t="shared" ca="1" si="8"/>
        <v>0</v>
      </c>
      <c r="AB20">
        <f t="shared" ca="1" si="8"/>
        <v>0</v>
      </c>
      <c r="AC20">
        <f t="shared" ca="1" si="8"/>
        <v>0.2</v>
      </c>
      <c r="AD20">
        <f t="shared" ca="1" si="8"/>
        <v>0</v>
      </c>
      <c r="AE20">
        <f t="shared" ca="1" si="8"/>
        <v>0</v>
      </c>
      <c r="AF20">
        <f t="shared" ca="1" si="8"/>
        <v>0</v>
      </c>
      <c r="AG20">
        <f t="shared" ca="1" si="8"/>
        <v>0</v>
      </c>
      <c r="AH20">
        <f t="shared" ca="1" si="8"/>
        <v>0</v>
      </c>
      <c r="AI20">
        <f t="shared" ca="1" si="8"/>
        <v>0</v>
      </c>
      <c r="AJ20">
        <f t="shared" ca="1" si="8"/>
        <v>0</v>
      </c>
      <c r="AK20">
        <f t="shared" ca="1" si="8"/>
        <v>0</v>
      </c>
      <c r="AL20">
        <f t="shared" ca="1" si="8"/>
        <v>0</v>
      </c>
      <c r="AM20">
        <f t="shared" ca="1" si="8"/>
        <v>0.4</v>
      </c>
      <c r="AN20">
        <f t="shared" ca="1" si="8"/>
        <v>0</v>
      </c>
      <c r="AO20">
        <f t="shared" ca="1" si="8"/>
        <v>0</v>
      </c>
      <c r="AP20">
        <f t="shared" ca="1" si="8"/>
        <v>0</v>
      </c>
      <c r="AQ20">
        <f t="shared" ca="1" si="8"/>
        <v>0</v>
      </c>
      <c r="AR20">
        <f t="shared" ca="1" si="8"/>
        <v>0.4</v>
      </c>
      <c r="AS20">
        <f t="shared" ca="1" si="8"/>
        <v>0.2</v>
      </c>
      <c r="AT20">
        <f t="shared" ca="1" si="8"/>
        <v>0</v>
      </c>
      <c r="AU20">
        <f t="shared" ca="1" si="8"/>
        <v>0</v>
      </c>
      <c r="AV20">
        <f t="shared" ca="1" si="8"/>
        <v>0</v>
      </c>
      <c r="AW20">
        <f t="shared" ca="1" si="8"/>
        <v>0</v>
      </c>
      <c r="AX20">
        <f t="shared" ref="AX20:CG20" ca="1" si="9">IFERROR(AVERAGEIF($E$35:$E$76,VALUE(RIGHT($Q7,2)),AX$35:AX$76),0)</f>
        <v>0</v>
      </c>
      <c r="AY20">
        <f t="shared" ca="1" si="9"/>
        <v>0</v>
      </c>
      <c r="AZ20">
        <f t="shared" ca="1" si="9"/>
        <v>0</v>
      </c>
      <c r="BA20">
        <f t="shared" ca="1" si="9"/>
        <v>0.4</v>
      </c>
      <c r="BB20">
        <f t="shared" ca="1" si="9"/>
        <v>0</v>
      </c>
      <c r="BC20">
        <f t="shared" ca="1" si="9"/>
        <v>0</v>
      </c>
      <c r="BD20">
        <f t="shared" ca="1" si="9"/>
        <v>0</v>
      </c>
      <c r="BE20">
        <f t="shared" ca="1" si="9"/>
        <v>0</v>
      </c>
      <c r="BF20">
        <f t="shared" ca="1" si="9"/>
        <v>0</v>
      </c>
      <c r="BG20">
        <f t="shared" ca="1" si="9"/>
        <v>0.6</v>
      </c>
      <c r="BH20">
        <f t="shared" ca="1" si="9"/>
        <v>0</v>
      </c>
      <c r="BI20">
        <f t="shared" ca="1" si="9"/>
        <v>0</v>
      </c>
      <c r="BJ20">
        <f t="shared" ca="1" si="9"/>
        <v>0.4</v>
      </c>
      <c r="BK20">
        <f t="shared" ca="1" si="9"/>
        <v>0</v>
      </c>
      <c r="BL20">
        <f t="shared" ca="1" si="9"/>
        <v>0</v>
      </c>
      <c r="BM20">
        <f t="shared" ca="1" si="9"/>
        <v>0</v>
      </c>
      <c r="BN20">
        <f t="shared" ca="1" si="9"/>
        <v>0.2</v>
      </c>
      <c r="BO20">
        <f t="shared" ca="1" si="9"/>
        <v>0</v>
      </c>
      <c r="BP20">
        <f t="shared" ca="1" si="9"/>
        <v>0.4</v>
      </c>
      <c r="BQ20">
        <f t="shared" ca="1" si="9"/>
        <v>0</v>
      </c>
      <c r="BR20">
        <f t="shared" ca="1" si="9"/>
        <v>0</v>
      </c>
      <c r="BS20">
        <f t="shared" ca="1" si="9"/>
        <v>0</v>
      </c>
      <c r="BT20">
        <f t="shared" ca="1" si="9"/>
        <v>0</v>
      </c>
      <c r="BU20">
        <f t="shared" ca="1" si="9"/>
        <v>0</v>
      </c>
      <c r="BV20">
        <f t="shared" ca="1" si="9"/>
        <v>0</v>
      </c>
      <c r="BW20">
        <f t="shared" ca="1" si="9"/>
        <v>0</v>
      </c>
      <c r="BX20">
        <f t="shared" ca="1" si="9"/>
        <v>0</v>
      </c>
      <c r="BY20">
        <f t="shared" ca="1" si="9"/>
        <v>0</v>
      </c>
      <c r="BZ20">
        <f t="shared" ca="1" si="9"/>
        <v>0</v>
      </c>
      <c r="CA20">
        <f t="shared" ca="1" si="9"/>
        <v>0</v>
      </c>
      <c r="CB20">
        <f t="shared" ca="1" si="9"/>
        <v>0</v>
      </c>
      <c r="CC20">
        <f t="shared" ca="1" si="9"/>
        <v>0</v>
      </c>
      <c r="CD20">
        <f t="shared" ca="1" si="9"/>
        <v>0</v>
      </c>
      <c r="CE20">
        <f t="shared" ca="1" si="9"/>
        <v>0</v>
      </c>
      <c r="CF20">
        <f t="shared" ca="1" si="9"/>
        <v>0</v>
      </c>
      <c r="CG20">
        <f t="shared" ca="1" si="9"/>
        <v>0</v>
      </c>
    </row>
    <row r="21" spans="6:85" hidden="1" x14ac:dyDescent="0.25">
      <c r="Q21" t="s">
        <v>89</v>
      </c>
      <c r="R21">
        <f t="shared" ref="R21:AW21" ca="1" si="10">IFERROR(AVERAGEIF($E$35:$E$76,VALUE(RIGHT($Q8,2)),R$35:R$76),0)</f>
        <v>0</v>
      </c>
      <c r="S21">
        <f t="shared" ca="1" si="10"/>
        <v>0</v>
      </c>
      <c r="T21">
        <f t="shared" ca="1" si="10"/>
        <v>0</v>
      </c>
      <c r="U21">
        <f t="shared" ca="1" si="10"/>
        <v>0</v>
      </c>
      <c r="V21">
        <f t="shared" ca="1" si="10"/>
        <v>0</v>
      </c>
      <c r="W21">
        <f t="shared" ca="1" si="10"/>
        <v>0</v>
      </c>
      <c r="X21">
        <f t="shared" ca="1" si="10"/>
        <v>0.33333333333333331</v>
      </c>
      <c r="Y21">
        <f t="shared" ca="1" si="10"/>
        <v>0.33333333333333331</v>
      </c>
      <c r="Z21">
        <f t="shared" ca="1" si="10"/>
        <v>0.33333333333333331</v>
      </c>
      <c r="AA21">
        <f t="shared" ca="1" si="10"/>
        <v>0</v>
      </c>
      <c r="AB21">
        <f t="shared" ca="1" si="10"/>
        <v>0</v>
      </c>
      <c r="AC21">
        <f t="shared" ca="1" si="10"/>
        <v>0</v>
      </c>
      <c r="AD21">
        <f t="shared" ca="1" si="10"/>
        <v>0</v>
      </c>
      <c r="AE21">
        <f t="shared" ca="1" si="10"/>
        <v>0</v>
      </c>
      <c r="AF21">
        <f t="shared" ca="1" si="10"/>
        <v>0</v>
      </c>
      <c r="AG21">
        <f t="shared" ca="1" si="10"/>
        <v>0</v>
      </c>
      <c r="AH21">
        <f t="shared" ca="1" si="10"/>
        <v>0</v>
      </c>
      <c r="AI21">
        <f t="shared" ca="1" si="10"/>
        <v>0</v>
      </c>
      <c r="AJ21">
        <f t="shared" ca="1" si="10"/>
        <v>0</v>
      </c>
      <c r="AK21">
        <f t="shared" ca="1" si="10"/>
        <v>0</v>
      </c>
      <c r="AL21">
        <f t="shared" ca="1" si="10"/>
        <v>0</v>
      </c>
      <c r="AM21">
        <f t="shared" ca="1" si="10"/>
        <v>0</v>
      </c>
      <c r="AN21">
        <f t="shared" ca="1" si="10"/>
        <v>0</v>
      </c>
      <c r="AO21">
        <f t="shared" ca="1" si="10"/>
        <v>0</v>
      </c>
      <c r="AP21">
        <f t="shared" ca="1" si="10"/>
        <v>0</v>
      </c>
      <c r="AQ21">
        <f t="shared" ca="1" si="10"/>
        <v>0</v>
      </c>
      <c r="AR21">
        <f t="shared" ca="1" si="10"/>
        <v>0</v>
      </c>
      <c r="AS21">
        <f t="shared" ca="1" si="10"/>
        <v>0</v>
      </c>
      <c r="AT21">
        <f t="shared" ca="1" si="10"/>
        <v>0.16666666666666666</v>
      </c>
      <c r="AU21">
        <f t="shared" ca="1" si="10"/>
        <v>0</v>
      </c>
      <c r="AV21">
        <f t="shared" ca="1" si="10"/>
        <v>0.83333333333333337</v>
      </c>
      <c r="AW21">
        <f t="shared" ca="1" si="10"/>
        <v>0</v>
      </c>
      <c r="AX21">
        <f t="shared" ref="AX21:CG21" ca="1" si="11">IFERROR(AVERAGEIF($E$35:$E$76,VALUE(RIGHT($Q8,2)),AX$35:AX$76),0)</f>
        <v>0</v>
      </c>
      <c r="AY21">
        <f t="shared" ca="1" si="11"/>
        <v>0</v>
      </c>
      <c r="AZ21">
        <f t="shared" ca="1" si="11"/>
        <v>0.83333333333333337</v>
      </c>
      <c r="BA21">
        <f t="shared" ca="1" si="11"/>
        <v>0</v>
      </c>
      <c r="BB21">
        <f t="shared" ca="1" si="11"/>
        <v>0.16666666666666666</v>
      </c>
      <c r="BC21">
        <f t="shared" ca="1" si="11"/>
        <v>0</v>
      </c>
      <c r="BD21">
        <f t="shared" ca="1" si="11"/>
        <v>0</v>
      </c>
      <c r="BE21">
        <f t="shared" ca="1" si="11"/>
        <v>0</v>
      </c>
      <c r="BF21">
        <f t="shared" ca="1" si="11"/>
        <v>0</v>
      </c>
      <c r="BG21">
        <f t="shared" ca="1" si="11"/>
        <v>0</v>
      </c>
      <c r="BH21">
        <f t="shared" ca="1" si="11"/>
        <v>0</v>
      </c>
      <c r="BI21">
        <f t="shared" ca="1" si="11"/>
        <v>0</v>
      </c>
      <c r="BJ21">
        <f t="shared" ca="1" si="11"/>
        <v>0</v>
      </c>
      <c r="BK21">
        <f t="shared" ca="1" si="11"/>
        <v>0</v>
      </c>
      <c r="BL21">
        <f t="shared" ca="1" si="11"/>
        <v>0</v>
      </c>
      <c r="BM21">
        <f t="shared" ca="1" si="11"/>
        <v>0</v>
      </c>
      <c r="BN21">
        <f t="shared" ca="1" si="11"/>
        <v>0</v>
      </c>
      <c r="BO21">
        <f t="shared" ca="1" si="11"/>
        <v>0</v>
      </c>
      <c r="BP21">
        <f t="shared" ca="1" si="11"/>
        <v>0</v>
      </c>
      <c r="BQ21">
        <f t="shared" ca="1" si="11"/>
        <v>0</v>
      </c>
      <c r="BR21">
        <f t="shared" ca="1" si="11"/>
        <v>0</v>
      </c>
      <c r="BS21">
        <f t="shared" ca="1" si="11"/>
        <v>0</v>
      </c>
      <c r="BT21">
        <f t="shared" ca="1" si="11"/>
        <v>1</v>
      </c>
      <c r="BU21">
        <f t="shared" ca="1" si="11"/>
        <v>0</v>
      </c>
      <c r="BV21">
        <f t="shared" ca="1" si="11"/>
        <v>0</v>
      </c>
      <c r="BW21">
        <f t="shared" ca="1" si="11"/>
        <v>0</v>
      </c>
      <c r="BX21">
        <f t="shared" ca="1" si="11"/>
        <v>0</v>
      </c>
      <c r="BY21">
        <f t="shared" ca="1" si="11"/>
        <v>0</v>
      </c>
      <c r="BZ21">
        <f t="shared" ca="1" si="11"/>
        <v>0</v>
      </c>
      <c r="CA21">
        <f t="shared" ca="1" si="11"/>
        <v>0</v>
      </c>
      <c r="CB21">
        <f t="shared" ca="1" si="11"/>
        <v>0</v>
      </c>
      <c r="CC21">
        <f t="shared" ca="1" si="11"/>
        <v>0</v>
      </c>
      <c r="CD21">
        <f t="shared" ca="1" si="11"/>
        <v>0</v>
      </c>
      <c r="CE21">
        <f t="shared" ca="1" si="11"/>
        <v>0</v>
      </c>
      <c r="CF21">
        <f t="shared" ca="1" si="11"/>
        <v>0</v>
      </c>
      <c r="CG21">
        <f t="shared" ca="1" si="11"/>
        <v>0</v>
      </c>
    </row>
    <row r="22" spans="6:85" hidden="1" x14ac:dyDescent="0.25">
      <c r="F22" s="4"/>
      <c r="G22" s="4"/>
      <c r="H22" s="12"/>
      <c r="I22" s="12"/>
      <c r="J22" s="12"/>
      <c r="K22" s="12"/>
      <c r="L22" s="12"/>
      <c r="M22" s="12"/>
      <c r="N22" s="12"/>
      <c r="O22" s="4"/>
      <c r="Q22" t="s">
        <v>90</v>
      </c>
      <c r="R22">
        <f t="shared" ref="R22:AW22" ca="1" si="12">IFERROR(AVERAGEIF($E$35:$E$76,VALUE(RIGHT($Q9,2)),R$35:R$76),0)</f>
        <v>0</v>
      </c>
      <c r="S22">
        <f t="shared" ca="1" si="12"/>
        <v>0</v>
      </c>
      <c r="T22">
        <f t="shared" ca="1" si="12"/>
        <v>0</v>
      </c>
      <c r="U22">
        <f t="shared" ca="1" si="12"/>
        <v>0</v>
      </c>
      <c r="V22">
        <f t="shared" ca="1" si="12"/>
        <v>0</v>
      </c>
      <c r="W22">
        <f t="shared" ca="1" si="12"/>
        <v>1</v>
      </c>
      <c r="X22">
        <f t="shared" ca="1" si="12"/>
        <v>0</v>
      </c>
      <c r="Y22">
        <f t="shared" ca="1" si="12"/>
        <v>0</v>
      </c>
      <c r="Z22">
        <f t="shared" ca="1" si="12"/>
        <v>0</v>
      </c>
      <c r="AA22">
        <f t="shared" ca="1" si="12"/>
        <v>0</v>
      </c>
      <c r="AB22">
        <f t="shared" ca="1" si="12"/>
        <v>0</v>
      </c>
      <c r="AC22">
        <f t="shared" ca="1" si="12"/>
        <v>0</v>
      </c>
      <c r="AD22">
        <f t="shared" ca="1" si="12"/>
        <v>0</v>
      </c>
      <c r="AE22">
        <f t="shared" ca="1" si="12"/>
        <v>0</v>
      </c>
      <c r="AF22">
        <f t="shared" ca="1" si="12"/>
        <v>0</v>
      </c>
      <c r="AG22">
        <f t="shared" ca="1" si="12"/>
        <v>0</v>
      </c>
      <c r="AH22">
        <f t="shared" ca="1" si="12"/>
        <v>0</v>
      </c>
      <c r="AI22">
        <f t="shared" ca="1" si="12"/>
        <v>0</v>
      </c>
      <c r="AJ22">
        <f t="shared" ca="1" si="12"/>
        <v>0</v>
      </c>
      <c r="AK22">
        <f t="shared" ca="1" si="12"/>
        <v>0</v>
      </c>
      <c r="AL22">
        <f t="shared" ca="1" si="12"/>
        <v>0</v>
      </c>
      <c r="AM22">
        <f t="shared" ca="1" si="12"/>
        <v>0</v>
      </c>
      <c r="AN22">
        <f t="shared" ca="1" si="12"/>
        <v>0</v>
      </c>
      <c r="AO22">
        <f t="shared" ca="1" si="12"/>
        <v>0</v>
      </c>
      <c r="AP22">
        <f t="shared" ca="1" si="12"/>
        <v>0</v>
      </c>
      <c r="AQ22">
        <f t="shared" ca="1" si="12"/>
        <v>0</v>
      </c>
      <c r="AR22">
        <f t="shared" ca="1" si="12"/>
        <v>0</v>
      </c>
      <c r="AS22">
        <f t="shared" ca="1" si="12"/>
        <v>0</v>
      </c>
      <c r="AT22">
        <f t="shared" ca="1" si="12"/>
        <v>1</v>
      </c>
      <c r="AU22">
        <f t="shared" ca="1" si="12"/>
        <v>0</v>
      </c>
      <c r="AV22">
        <f t="shared" ca="1" si="12"/>
        <v>0</v>
      </c>
      <c r="AW22">
        <f t="shared" ca="1" si="12"/>
        <v>0</v>
      </c>
      <c r="AX22">
        <f t="shared" ref="AX22:CG22" ca="1" si="13">IFERROR(AVERAGEIF($E$35:$E$76,VALUE(RIGHT($Q9,2)),AX$35:AX$76),0)</f>
        <v>0</v>
      </c>
      <c r="AY22">
        <f t="shared" ca="1" si="13"/>
        <v>0</v>
      </c>
      <c r="AZ22">
        <f t="shared" ca="1" si="13"/>
        <v>0</v>
      </c>
      <c r="BA22">
        <f t="shared" ca="1" si="13"/>
        <v>1</v>
      </c>
      <c r="BB22">
        <f t="shared" ca="1" si="13"/>
        <v>0</v>
      </c>
      <c r="BC22">
        <f t="shared" ca="1" si="13"/>
        <v>0</v>
      </c>
      <c r="BD22">
        <f t="shared" ca="1" si="13"/>
        <v>0</v>
      </c>
      <c r="BE22">
        <f t="shared" ca="1" si="13"/>
        <v>0</v>
      </c>
      <c r="BF22">
        <f t="shared" ca="1" si="13"/>
        <v>0</v>
      </c>
      <c r="BG22">
        <f t="shared" ca="1" si="13"/>
        <v>0</v>
      </c>
      <c r="BH22">
        <f t="shared" ca="1" si="13"/>
        <v>0</v>
      </c>
      <c r="BI22">
        <f t="shared" ca="1" si="13"/>
        <v>0</v>
      </c>
      <c r="BJ22">
        <f t="shared" ca="1" si="13"/>
        <v>0</v>
      </c>
      <c r="BK22">
        <f t="shared" ca="1" si="13"/>
        <v>0</v>
      </c>
      <c r="BL22">
        <f t="shared" ca="1" si="13"/>
        <v>0</v>
      </c>
      <c r="BM22">
        <f t="shared" ca="1" si="13"/>
        <v>0</v>
      </c>
      <c r="BN22">
        <f t="shared" ca="1" si="13"/>
        <v>0</v>
      </c>
      <c r="BO22">
        <f t="shared" ca="1" si="13"/>
        <v>0</v>
      </c>
      <c r="BP22">
        <f t="shared" ca="1" si="13"/>
        <v>0</v>
      </c>
      <c r="BQ22">
        <f t="shared" ca="1" si="13"/>
        <v>0</v>
      </c>
      <c r="BR22">
        <f t="shared" ca="1" si="13"/>
        <v>0</v>
      </c>
      <c r="BS22">
        <f t="shared" ca="1" si="13"/>
        <v>1</v>
      </c>
      <c r="BT22">
        <f t="shared" ca="1" si="13"/>
        <v>0</v>
      </c>
      <c r="BU22">
        <f t="shared" ca="1" si="13"/>
        <v>0</v>
      </c>
      <c r="BV22">
        <f t="shared" ca="1" si="13"/>
        <v>0</v>
      </c>
      <c r="BW22">
        <f t="shared" ca="1" si="13"/>
        <v>0</v>
      </c>
      <c r="BX22">
        <f t="shared" ca="1" si="13"/>
        <v>0</v>
      </c>
      <c r="BY22">
        <f t="shared" ca="1" si="13"/>
        <v>0</v>
      </c>
      <c r="BZ22">
        <f t="shared" ca="1" si="13"/>
        <v>0</v>
      </c>
      <c r="CA22">
        <f t="shared" ca="1" si="13"/>
        <v>0</v>
      </c>
      <c r="CB22">
        <f t="shared" ca="1" si="13"/>
        <v>0</v>
      </c>
      <c r="CC22">
        <f t="shared" ca="1" si="13"/>
        <v>0</v>
      </c>
      <c r="CD22">
        <f t="shared" ca="1" si="13"/>
        <v>0</v>
      </c>
      <c r="CE22">
        <f t="shared" ca="1" si="13"/>
        <v>0</v>
      </c>
      <c r="CF22">
        <f t="shared" ca="1" si="13"/>
        <v>0</v>
      </c>
      <c r="CG22">
        <f t="shared" ca="1" si="13"/>
        <v>0</v>
      </c>
    </row>
    <row r="23" spans="6:85" hidden="1" x14ac:dyDescent="0.25">
      <c r="F23" s="4"/>
      <c r="G23" s="4"/>
      <c r="H23" s="12"/>
      <c r="I23" s="12"/>
      <c r="J23" s="12"/>
      <c r="K23" s="12"/>
      <c r="L23" s="12"/>
      <c r="M23" s="12"/>
      <c r="N23" s="12"/>
      <c r="O23" s="4"/>
      <c r="Q23" t="s">
        <v>91</v>
      </c>
      <c r="R23">
        <f t="shared" ref="R23:AW23" ca="1" si="14">IFERROR(AVERAGEIF($E$35:$E$76,VALUE(RIGHT($Q10,2)),R$35:R$76),0)</f>
        <v>0</v>
      </c>
      <c r="S23">
        <f t="shared" ca="1" si="14"/>
        <v>0</v>
      </c>
      <c r="T23">
        <f t="shared" ca="1" si="14"/>
        <v>0</v>
      </c>
      <c r="U23">
        <f t="shared" ca="1" si="14"/>
        <v>0</v>
      </c>
      <c r="V23">
        <f t="shared" ca="1" si="14"/>
        <v>0</v>
      </c>
      <c r="W23">
        <f t="shared" ca="1" si="14"/>
        <v>0.25</v>
      </c>
      <c r="X23">
        <f t="shared" ca="1" si="14"/>
        <v>0</v>
      </c>
      <c r="Y23">
        <f t="shared" ca="1" si="14"/>
        <v>0.5</v>
      </c>
      <c r="Z23">
        <f t="shared" ca="1" si="14"/>
        <v>0</v>
      </c>
      <c r="AA23">
        <f t="shared" ca="1" si="14"/>
        <v>0</v>
      </c>
      <c r="AB23">
        <f t="shared" ca="1" si="14"/>
        <v>0.25</v>
      </c>
      <c r="AC23">
        <f t="shared" ca="1" si="14"/>
        <v>0</v>
      </c>
      <c r="AD23">
        <f t="shared" ca="1" si="14"/>
        <v>0</v>
      </c>
      <c r="AE23">
        <f t="shared" ca="1" si="14"/>
        <v>0</v>
      </c>
      <c r="AF23">
        <f t="shared" ca="1" si="14"/>
        <v>0</v>
      </c>
      <c r="AG23">
        <f t="shared" ca="1" si="14"/>
        <v>0</v>
      </c>
      <c r="AH23">
        <f t="shared" ca="1" si="14"/>
        <v>0</v>
      </c>
      <c r="AI23">
        <f t="shared" ca="1" si="14"/>
        <v>0</v>
      </c>
      <c r="AJ23">
        <f t="shared" ca="1" si="14"/>
        <v>0</v>
      </c>
      <c r="AK23">
        <f t="shared" ca="1" si="14"/>
        <v>0</v>
      </c>
      <c r="AL23">
        <f t="shared" ca="1" si="14"/>
        <v>0</v>
      </c>
      <c r="AM23">
        <f t="shared" ca="1" si="14"/>
        <v>0</v>
      </c>
      <c r="AN23">
        <f t="shared" ca="1" si="14"/>
        <v>0</v>
      </c>
      <c r="AO23">
        <f t="shared" ca="1" si="14"/>
        <v>0</v>
      </c>
      <c r="AP23">
        <f t="shared" ca="1" si="14"/>
        <v>0</v>
      </c>
      <c r="AQ23">
        <f t="shared" ca="1" si="14"/>
        <v>0</v>
      </c>
      <c r="AR23">
        <f t="shared" ca="1" si="14"/>
        <v>0</v>
      </c>
      <c r="AS23">
        <f t="shared" ca="1" si="14"/>
        <v>0</v>
      </c>
      <c r="AT23">
        <f t="shared" ca="1" si="14"/>
        <v>0</v>
      </c>
      <c r="AU23">
        <f t="shared" ca="1" si="14"/>
        <v>0.25</v>
      </c>
      <c r="AV23">
        <f t="shared" ca="1" si="14"/>
        <v>0.5</v>
      </c>
      <c r="AW23">
        <f t="shared" ca="1" si="14"/>
        <v>0.25</v>
      </c>
      <c r="AX23">
        <f t="shared" ref="AX23:CG23" ca="1" si="15">IFERROR(AVERAGEIF($E$35:$E$76,VALUE(RIGHT($Q10,2)),AX$35:AX$76),0)</f>
        <v>0</v>
      </c>
      <c r="AY23">
        <f t="shared" ca="1" si="15"/>
        <v>0</v>
      </c>
      <c r="AZ23">
        <f t="shared" ca="1" si="15"/>
        <v>1</v>
      </c>
      <c r="BA23">
        <f t="shared" ca="1" si="15"/>
        <v>0</v>
      </c>
      <c r="BB23">
        <f t="shared" ca="1" si="15"/>
        <v>0</v>
      </c>
      <c r="BC23">
        <f t="shared" ca="1" si="15"/>
        <v>0</v>
      </c>
      <c r="BD23">
        <f t="shared" ca="1" si="15"/>
        <v>0</v>
      </c>
      <c r="BE23">
        <f t="shared" ca="1" si="15"/>
        <v>0</v>
      </c>
      <c r="BF23">
        <f t="shared" ca="1" si="15"/>
        <v>0</v>
      </c>
      <c r="BG23">
        <f t="shared" ca="1" si="15"/>
        <v>0</v>
      </c>
      <c r="BH23">
        <f t="shared" ca="1" si="15"/>
        <v>0</v>
      </c>
      <c r="BI23">
        <f t="shared" ca="1" si="15"/>
        <v>0</v>
      </c>
      <c r="BJ23">
        <f t="shared" ca="1" si="15"/>
        <v>0</v>
      </c>
      <c r="BK23">
        <f t="shared" ca="1" si="15"/>
        <v>0</v>
      </c>
      <c r="BL23">
        <f t="shared" ca="1" si="15"/>
        <v>0</v>
      </c>
      <c r="BM23">
        <f t="shared" ca="1" si="15"/>
        <v>0</v>
      </c>
      <c r="BN23">
        <f t="shared" ca="1" si="15"/>
        <v>0</v>
      </c>
      <c r="BO23">
        <f t="shared" ca="1" si="15"/>
        <v>0</v>
      </c>
      <c r="BP23">
        <f t="shared" ca="1" si="15"/>
        <v>0</v>
      </c>
      <c r="BQ23">
        <f t="shared" ca="1" si="15"/>
        <v>0</v>
      </c>
      <c r="BR23">
        <f t="shared" ca="1" si="15"/>
        <v>0</v>
      </c>
      <c r="BS23">
        <f t="shared" ca="1" si="15"/>
        <v>0.75</v>
      </c>
      <c r="BT23">
        <f t="shared" ca="1" si="15"/>
        <v>0.25</v>
      </c>
      <c r="BU23">
        <f t="shared" ca="1" si="15"/>
        <v>0</v>
      </c>
      <c r="BV23">
        <f t="shared" ca="1" si="15"/>
        <v>0</v>
      </c>
      <c r="BW23">
        <f t="shared" ca="1" si="15"/>
        <v>0</v>
      </c>
      <c r="BX23">
        <f t="shared" ca="1" si="15"/>
        <v>0</v>
      </c>
      <c r="BY23">
        <f t="shared" ca="1" si="15"/>
        <v>0</v>
      </c>
      <c r="BZ23">
        <f t="shared" ca="1" si="15"/>
        <v>0</v>
      </c>
      <c r="CA23">
        <f t="shared" ca="1" si="15"/>
        <v>0</v>
      </c>
      <c r="CB23">
        <f t="shared" ca="1" si="15"/>
        <v>0</v>
      </c>
      <c r="CC23">
        <f t="shared" ca="1" si="15"/>
        <v>0</v>
      </c>
      <c r="CD23">
        <f t="shared" ca="1" si="15"/>
        <v>0</v>
      </c>
      <c r="CE23">
        <f t="shared" ca="1" si="15"/>
        <v>0</v>
      </c>
      <c r="CF23">
        <f t="shared" ca="1" si="15"/>
        <v>0</v>
      </c>
      <c r="CG23">
        <f t="shared" ca="1" si="15"/>
        <v>0</v>
      </c>
    </row>
    <row r="24" spans="6:85" hidden="1" x14ac:dyDescent="0.25">
      <c r="F24" s="4"/>
      <c r="G24" s="4"/>
      <c r="H24" s="12"/>
      <c r="I24" s="12"/>
      <c r="J24" s="12"/>
      <c r="K24" s="12"/>
      <c r="L24" s="12"/>
      <c r="M24" s="12"/>
      <c r="N24" s="12"/>
      <c r="O24" s="4"/>
      <c r="Q24" t="s">
        <v>92</v>
      </c>
      <c r="R24">
        <f t="shared" ref="R24:AW24" ca="1" si="16">IFERROR(AVERAGEIF($E$35:$E$76,VALUE(RIGHT($Q11,2)),R$35:R$76),0)</f>
        <v>0</v>
      </c>
      <c r="S24">
        <f t="shared" ca="1" si="16"/>
        <v>0</v>
      </c>
      <c r="T24">
        <f t="shared" ca="1" si="16"/>
        <v>0</v>
      </c>
      <c r="U24">
        <f t="shared" ca="1" si="16"/>
        <v>0</v>
      </c>
      <c r="V24">
        <f t="shared" ca="1" si="16"/>
        <v>0</v>
      </c>
      <c r="W24">
        <f t="shared" ca="1" si="16"/>
        <v>0</v>
      </c>
      <c r="X24">
        <f t="shared" ca="1" si="16"/>
        <v>0</v>
      </c>
      <c r="Y24">
        <f t="shared" ca="1" si="16"/>
        <v>0</v>
      </c>
      <c r="Z24">
        <f t="shared" ca="1" si="16"/>
        <v>0</v>
      </c>
      <c r="AA24">
        <f t="shared" ca="1" si="16"/>
        <v>0.5</v>
      </c>
      <c r="AB24">
        <f t="shared" ca="1" si="16"/>
        <v>0.5</v>
      </c>
      <c r="AC24">
        <f t="shared" ca="1" si="16"/>
        <v>0</v>
      </c>
      <c r="AD24">
        <f t="shared" ca="1" si="16"/>
        <v>0</v>
      </c>
      <c r="AE24">
        <f t="shared" ca="1" si="16"/>
        <v>0</v>
      </c>
      <c r="AF24">
        <f t="shared" ca="1" si="16"/>
        <v>0</v>
      </c>
      <c r="AG24">
        <f t="shared" ca="1" si="16"/>
        <v>0</v>
      </c>
      <c r="AH24">
        <f t="shared" ca="1" si="16"/>
        <v>0</v>
      </c>
      <c r="AI24">
        <f t="shared" ca="1" si="16"/>
        <v>0</v>
      </c>
      <c r="AJ24">
        <f t="shared" ca="1" si="16"/>
        <v>0</v>
      </c>
      <c r="AK24">
        <f t="shared" ca="1" si="16"/>
        <v>0</v>
      </c>
      <c r="AL24">
        <f t="shared" ca="1" si="16"/>
        <v>0</v>
      </c>
      <c r="AM24">
        <f t="shared" ca="1" si="16"/>
        <v>0</v>
      </c>
      <c r="AN24">
        <f t="shared" ca="1" si="16"/>
        <v>0</v>
      </c>
      <c r="AO24">
        <f t="shared" ca="1" si="16"/>
        <v>0</v>
      </c>
      <c r="AP24">
        <f t="shared" ca="1" si="16"/>
        <v>1</v>
      </c>
      <c r="AQ24">
        <f t="shared" ca="1" si="16"/>
        <v>0</v>
      </c>
      <c r="AR24">
        <f t="shared" ca="1" si="16"/>
        <v>0</v>
      </c>
      <c r="AS24">
        <f t="shared" ca="1" si="16"/>
        <v>0</v>
      </c>
      <c r="AT24">
        <f t="shared" ca="1" si="16"/>
        <v>0</v>
      </c>
      <c r="AU24">
        <f t="shared" ca="1" si="16"/>
        <v>0</v>
      </c>
      <c r="AV24">
        <f t="shared" ca="1" si="16"/>
        <v>0</v>
      </c>
      <c r="AW24">
        <f t="shared" ca="1" si="16"/>
        <v>0</v>
      </c>
      <c r="AX24">
        <f t="shared" ref="AX24:CG24" ca="1" si="17">IFERROR(AVERAGEIF($E$35:$E$76,VALUE(RIGHT($Q11,2)),AX$35:AX$76),0)</f>
        <v>0</v>
      </c>
      <c r="AY24">
        <f t="shared" ca="1" si="17"/>
        <v>0</v>
      </c>
      <c r="AZ24">
        <f t="shared" ca="1" si="17"/>
        <v>0</v>
      </c>
      <c r="BA24">
        <f t="shared" ca="1" si="17"/>
        <v>0</v>
      </c>
      <c r="BB24">
        <f t="shared" ca="1" si="17"/>
        <v>0</v>
      </c>
      <c r="BC24">
        <f t="shared" ca="1" si="17"/>
        <v>0</v>
      </c>
      <c r="BD24">
        <f t="shared" ca="1" si="17"/>
        <v>0</v>
      </c>
      <c r="BE24">
        <f t="shared" ca="1" si="17"/>
        <v>0</v>
      </c>
      <c r="BF24">
        <f t="shared" ca="1" si="17"/>
        <v>0</v>
      </c>
      <c r="BG24">
        <f t="shared" ca="1" si="17"/>
        <v>0</v>
      </c>
      <c r="BH24">
        <f t="shared" ca="1" si="17"/>
        <v>1</v>
      </c>
      <c r="BI24">
        <f t="shared" ca="1" si="17"/>
        <v>0</v>
      </c>
      <c r="BJ24">
        <f t="shared" ca="1" si="17"/>
        <v>0</v>
      </c>
      <c r="BK24">
        <f t="shared" ca="1" si="17"/>
        <v>1</v>
      </c>
      <c r="BL24">
        <f t="shared" ca="1" si="17"/>
        <v>0</v>
      </c>
      <c r="BM24">
        <f t="shared" ca="1" si="17"/>
        <v>0</v>
      </c>
      <c r="BN24">
        <f t="shared" ca="1" si="17"/>
        <v>0</v>
      </c>
      <c r="BO24">
        <f t="shared" ca="1" si="17"/>
        <v>0</v>
      </c>
      <c r="BP24">
        <f t="shared" ca="1" si="17"/>
        <v>0</v>
      </c>
      <c r="BQ24">
        <f t="shared" ca="1" si="17"/>
        <v>0</v>
      </c>
      <c r="BR24">
        <f t="shared" ca="1" si="17"/>
        <v>0</v>
      </c>
      <c r="BS24">
        <f t="shared" ca="1" si="17"/>
        <v>0</v>
      </c>
      <c r="BT24">
        <f t="shared" ca="1" si="17"/>
        <v>0</v>
      </c>
      <c r="BU24">
        <f t="shared" ca="1" si="17"/>
        <v>0</v>
      </c>
      <c r="BV24">
        <f t="shared" ca="1" si="17"/>
        <v>0</v>
      </c>
      <c r="BW24">
        <f t="shared" ca="1" si="17"/>
        <v>0</v>
      </c>
      <c r="BX24">
        <f t="shared" ca="1" si="17"/>
        <v>0</v>
      </c>
      <c r="BY24">
        <f t="shared" ca="1" si="17"/>
        <v>0</v>
      </c>
      <c r="BZ24">
        <f t="shared" ca="1" si="17"/>
        <v>0</v>
      </c>
      <c r="CA24">
        <f t="shared" ca="1" si="17"/>
        <v>0</v>
      </c>
      <c r="CB24">
        <f t="shared" ca="1" si="17"/>
        <v>0</v>
      </c>
      <c r="CC24">
        <f t="shared" ca="1" si="17"/>
        <v>0</v>
      </c>
      <c r="CD24">
        <f t="shared" ca="1" si="17"/>
        <v>0</v>
      </c>
      <c r="CE24">
        <f t="shared" ca="1" si="17"/>
        <v>0</v>
      </c>
      <c r="CF24">
        <f t="shared" ca="1" si="17"/>
        <v>0</v>
      </c>
      <c r="CG24">
        <f t="shared" ca="1" si="17"/>
        <v>0</v>
      </c>
    </row>
    <row r="25" spans="6:85" hidden="1" x14ac:dyDescent="0.25">
      <c r="F25" s="4"/>
      <c r="G25" s="4"/>
      <c r="H25" s="12"/>
      <c r="I25" s="12"/>
      <c r="J25" s="12"/>
      <c r="K25" s="12"/>
      <c r="L25" s="12"/>
      <c r="M25" s="12"/>
      <c r="N25" s="12"/>
      <c r="O25" s="4"/>
      <c r="Q25" t="s">
        <v>93</v>
      </c>
      <c r="R25">
        <f t="shared" ref="R25:AW25" ca="1" si="18">IFERROR(AVERAGEIF($E$35:$E$76,VALUE(RIGHT($Q12,2)),R$35:R$76),0)</f>
        <v>0</v>
      </c>
      <c r="S25">
        <f t="shared" ca="1" si="18"/>
        <v>0</v>
      </c>
      <c r="T25">
        <f t="shared" ca="1" si="18"/>
        <v>0.2</v>
      </c>
      <c r="U25">
        <f t="shared" ca="1" si="18"/>
        <v>0.2</v>
      </c>
      <c r="V25">
        <f t="shared" ca="1" si="18"/>
        <v>0</v>
      </c>
      <c r="W25">
        <f t="shared" ca="1" si="18"/>
        <v>0.4</v>
      </c>
      <c r="X25">
        <f t="shared" ca="1" si="18"/>
        <v>0.2</v>
      </c>
      <c r="Y25">
        <f t="shared" ca="1" si="18"/>
        <v>0</v>
      </c>
      <c r="Z25">
        <f t="shared" ca="1" si="18"/>
        <v>0</v>
      </c>
      <c r="AA25">
        <f t="shared" ca="1" si="18"/>
        <v>0</v>
      </c>
      <c r="AB25">
        <f t="shared" ca="1" si="18"/>
        <v>0</v>
      </c>
      <c r="AC25">
        <f t="shared" ca="1" si="18"/>
        <v>0</v>
      </c>
      <c r="AD25">
        <f t="shared" ca="1" si="18"/>
        <v>0</v>
      </c>
      <c r="AE25">
        <f t="shared" ca="1" si="18"/>
        <v>0</v>
      </c>
      <c r="AF25">
        <f t="shared" ca="1" si="18"/>
        <v>0</v>
      </c>
      <c r="AG25">
        <f t="shared" ca="1" si="18"/>
        <v>0</v>
      </c>
      <c r="AH25">
        <f t="shared" ca="1" si="18"/>
        <v>0</v>
      </c>
      <c r="AI25">
        <f t="shared" ca="1" si="18"/>
        <v>0</v>
      </c>
      <c r="AJ25">
        <f t="shared" ca="1" si="18"/>
        <v>0</v>
      </c>
      <c r="AK25">
        <f t="shared" ca="1" si="18"/>
        <v>0</v>
      </c>
      <c r="AL25">
        <f t="shared" ca="1" si="18"/>
        <v>0</v>
      </c>
      <c r="AM25">
        <f t="shared" ca="1" si="18"/>
        <v>0</v>
      </c>
      <c r="AN25">
        <f t="shared" ca="1" si="18"/>
        <v>0</v>
      </c>
      <c r="AO25">
        <f t="shared" ca="1" si="18"/>
        <v>0</v>
      </c>
      <c r="AP25">
        <f t="shared" ca="1" si="18"/>
        <v>0</v>
      </c>
      <c r="AQ25">
        <f t="shared" ca="1" si="18"/>
        <v>0</v>
      </c>
      <c r="AR25">
        <f t="shared" ca="1" si="18"/>
        <v>0</v>
      </c>
      <c r="AS25">
        <f t="shared" ca="1" si="18"/>
        <v>0</v>
      </c>
      <c r="AT25">
        <f t="shared" ca="1" si="18"/>
        <v>0</v>
      </c>
      <c r="AU25">
        <f t="shared" ca="1" si="18"/>
        <v>1</v>
      </c>
      <c r="AV25">
        <f t="shared" ca="1" si="18"/>
        <v>0</v>
      </c>
      <c r="AW25">
        <f t="shared" ca="1" si="18"/>
        <v>0</v>
      </c>
      <c r="AX25">
        <f t="shared" ref="AX25:CG25" ca="1" si="19">IFERROR(AVERAGEIF($E$35:$E$76,VALUE(RIGHT($Q12,2)),AX$35:AX$76),0)</f>
        <v>0</v>
      </c>
      <c r="AY25">
        <f t="shared" ca="1" si="19"/>
        <v>0</v>
      </c>
      <c r="AZ25">
        <f t="shared" ca="1" si="19"/>
        <v>0</v>
      </c>
      <c r="BA25">
        <f t="shared" ca="1" si="19"/>
        <v>0.2</v>
      </c>
      <c r="BB25">
        <f t="shared" ca="1" si="19"/>
        <v>0.4</v>
      </c>
      <c r="BC25">
        <f t="shared" ca="1" si="19"/>
        <v>0.4</v>
      </c>
      <c r="BD25">
        <f t="shared" ca="1" si="19"/>
        <v>0</v>
      </c>
      <c r="BE25">
        <f t="shared" ca="1" si="19"/>
        <v>0</v>
      </c>
      <c r="BF25">
        <f t="shared" ca="1" si="19"/>
        <v>0</v>
      </c>
      <c r="BG25">
        <f t="shared" ca="1" si="19"/>
        <v>0</v>
      </c>
      <c r="BH25">
        <f t="shared" ca="1" si="19"/>
        <v>0</v>
      </c>
      <c r="BI25">
        <f t="shared" ca="1" si="19"/>
        <v>0</v>
      </c>
      <c r="BJ25">
        <f t="shared" ca="1" si="19"/>
        <v>0</v>
      </c>
      <c r="BK25">
        <f t="shared" ca="1" si="19"/>
        <v>0</v>
      </c>
      <c r="BL25">
        <f t="shared" ca="1" si="19"/>
        <v>0</v>
      </c>
      <c r="BM25">
        <f t="shared" ca="1" si="19"/>
        <v>0</v>
      </c>
      <c r="BN25">
        <f t="shared" ca="1" si="19"/>
        <v>0</v>
      </c>
      <c r="BO25">
        <f t="shared" ca="1" si="19"/>
        <v>0</v>
      </c>
      <c r="BP25">
        <f t="shared" ca="1" si="19"/>
        <v>0</v>
      </c>
      <c r="BQ25">
        <f t="shared" ca="1" si="19"/>
        <v>1</v>
      </c>
      <c r="BR25">
        <f t="shared" ca="1" si="19"/>
        <v>0</v>
      </c>
      <c r="BS25">
        <f t="shared" ca="1" si="19"/>
        <v>0</v>
      </c>
      <c r="BT25">
        <f t="shared" ca="1" si="19"/>
        <v>0</v>
      </c>
      <c r="BU25">
        <f t="shared" ca="1" si="19"/>
        <v>0</v>
      </c>
      <c r="BV25">
        <f t="shared" ca="1" si="19"/>
        <v>0</v>
      </c>
      <c r="BW25">
        <f t="shared" ca="1" si="19"/>
        <v>0</v>
      </c>
      <c r="BX25">
        <f t="shared" ca="1" si="19"/>
        <v>0</v>
      </c>
      <c r="BY25">
        <f t="shared" ca="1" si="19"/>
        <v>0</v>
      </c>
      <c r="BZ25">
        <f t="shared" ca="1" si="19"/>
        <v>0</v>
      </c>
      <c r="CA25">
        <f t="shared" ca="1" si="19"/>
        <v>0</v>
      </c>
      <c r="CB25">
        <f t="shared" ca="1" si="19"/>
        <v>0</v>
      </c>
      <c r="CC25">
        <f t="shared" ca="1" si="19"/>
        <v>0</v>
      </c>
      <c r="CD25">
        <f t="shared" ca="1" si="19"/>
        <v>0</v>
      </c>
      <c r="CE25">
        <f t="shared" ca="1" si="19"/>
        <v>0</v>
      </c>
      <c r="CF25">
        <f t="shared" ca="1" si="19"/>
        <v>0</v>
      </c>
      <c r="CG25">
        <f t="shared" ca="1" si="19"/>
        <v>0</v>
      </c>
    </row>
    <row r="26" spans="6:85" hidden="1" x14ac:dyDescent="0.25">
      <c r="F26" s="12"/>
      <c r="G26" s="12"/>
      <c r="H26" s="12"/>
      <c r="I26" s="12"/>
      <c r="J26" s="12"/>
      <c r="K26" s="12"/>
      <c r="L26" s="12"/>
      <c r="M26" s="12"/>
      <c r="N26" s="12"/>
      <c r="O26" s="12"/>
      <c r="P26" s="12"/>
    </row>
    <row r="27" spans="6:85" x14ac:dyDescent="0.25">
      <c r="F27" s="12"/>
      <c r="G27" s="12"/>
      <c r="H27" s="12"/>
      <c r="I27" s="12"/>
      <c r="J27" s="12"/>
      <c r="K27" s="12"/>
      <c r="L27" s="12"/>
      <c r="M27" s="12"/>
      <c r="N27" s="12"/>
      <c r="O27" s="12"/>
      <c r="P27" s="12"/>
    </row>
    <row r="28" spans="6:85" x14ac:dyDescent="0.25">
      <c r="F28" s="12"/>
      <c r="G28" s="12"/>
      <c r="H28" s="12"/>
      <c r="I28" s="12"/>
      <c r="J28" s="12"/>
      <c r="K28" s="12"/>
      <c r="L28" s="12"/>
      <c r="M28" s="12"/>
      <c r="N28" s="12"/>
      <c r="O28" s="12"/>
      <c r="P28" s="12"/>
      <c r="Q28" s="13" t="s">
        <v>78</v>
      </c>
      <c r="R28" s="6" t="s">
        <v>94</v>
      </c>
      <c r="S28" s="6" t="s">
        <v>95</v>
      </c>
      <c r="T28" s="6" t="s">
        <v>96</v>
      </c>
      <c r="U28" s="6" t="s">
        <v>97</v>
      </c>
      <c r="V28" s="6" t="s">
        <v>98</v>
      </c>
      <c r="W28" s="6" t="s">
        <v>99</v>
      </c>
      <c r="X28" s="6" t="s">
        <v>100</v>
      </c>
      <c r="Y28" s="6" t="s">
        <v>101</v>
      </c>
      <c r="Z28" s="6" t="s">
        <v>102</v>
      </c>
      <c r="AA28" s="6" t="s">
        <v>103</v>
      </c>
      <c r="AB28" s="6" t="s">
        <v>109</v>
      </c>
    </row>
    <row r="29" spans="6:85" x14ac:dyDescent="0.25">
      <c r="F29" s="12"/>
      <c r="G29" s="12"/>
      <c r="H29" s="12"/>
      <c r="I29" s="12"/>
      <c r="J29" s="12"/>
      <c r="K29" s="12"/>
      <c r="L29" s="12"/>
      <c r="O29" s="12"/>
      <c r="P29" s="12"/>
      <c r="Q29" s="15" t="s">
        <v>104</v>
      </c>
      <c r="R29" s="5">
        <f ca="1">COUNTIF(newClusters,VALUE(RIGHT(R28,2)))</f>
        <v>3</v>
      </c>
      <c r="S29" s="5">
        <f t="shared" ref="S29:AA29" ca="1" si="20">COUNTIF(newClusters,VALUE(RIGHT(S28,2)))</f>
        <v>6</v>
      </c>
      <c r="T29" s="5">
        <f t="shared" ca="1" si="20"/>
        <v>5</v>
      </c>
      <c r="U29" s="5">
        <f t="shared" ca="1" si="20"/>
        <v>3</v>
      </c>
      <c r="V29" s="5">
        <f t="shared" ca="1" si="20"/>
        <v>5</v>
      </c>
      <c r="W29" s="5">
        <f t="shared" ca="1" si="20"/>
        <v>6</v>
      </c>
      <c r="X29" s="5">
        <f t="shared" ca="1" si="20"/>
        <v>3</v>
      </c>
      <c r="Y29" s="5">
        <f t="shared" ca="1" si="20"/>
        <v>4</v>
      </c>
      <c r="Z29" s="5">
        <f t="shared" ca="1" si="20"/>
        <v>2</v>
      </c>
      <c r="AA29" s="5">
        <f t="shared" ca="1" si="20"/>
        <v>5</v>
      </c>
      <c r="AB29" s="16">
        <f ca="1">SUM(R29:AA29)</f>
        <v>42</v>
      </c>
    </row>
    <row r="30" spans="6:85" x14ac:dyDescent="0.25">
      <c r="F30" s="12"/>
      <c r="G30" s="12"/>
      <c r="H30" s="12"/>
      <c r="I30" s="12"/>
      <c r="J30" s="12"/>
      <c r="K30" s="12"/>
      <c r="L30" s="12"/>
      <c r="O30" s="12"/>
      <c r="P30" s="12"/>
      <c r="R30" s="1" t="s">
        <v>105</v>
      </c>
      <c r="V30" s="1" t="s">
        <v>106</v>
      </c>
    </row>
    <row r="31" spans="6:85" x14ac:dyDescent="0.25">
      <c r="F31" s="12"/>
      <c r="G31" s="12"/>
      <c r="H31" s="12"/>
      <c r="I31" s="12"/>
      <c r="J31" s="12"/>
      <c r="K31" s="12"/>
      <c r="L31" s="12"/>
      <c r="O31" s="12"/>
      <c r="P31" s="12"/>
      <c r="R31" s="14">
        <v>10</v>
      </c>
      <c r="V31" s="14" t="s">
        <v>110</v>
      </c>
    </row>
    <row r="32" spans="6:85" x14ac:dyDescent="0.25">
      <c r="F32" s="4"/>
      <c r="G32" s="4"/>
      <c r="H32" s="12"/>
      <c r="I32" s="12"/>
      <c r="J32" s="12"/>
      <c r="K32" s="12"/>
      <c r="L32" s="12"/>
      <c r="M32" s="12"/>
      <c r="N32" s="12"/>
      <c r="O32" s="4"/>
      <c r="P32" s="4"/>
      <c r="U32" s="22" t="s">
        <v>107</v>
      </c>
      <c r="V32" s="22"/>
      <c r="W32" s="22"/>
    </row>
    <row r="33" spans="2:86" ht="15.75" thickBot="1" x14ac:dyDescent="0.3">
      <c r="D33" s="24" t="s">
        <v>71</v>
      </c>
      <c r="E33" s="26"/>
      <c r="F33" s="24" t="s">
        <v>79</v>
      </c>
      <c r="G33" s="25"/>
      <c r="H33" s="25"/>
      <c r="I33" s="25"/>
      <c r="J33" s="25"/>
      <c r="K33" s="25"/>
      <c r="L33" s="25"/>
      <c r="M33" s="25"/>
      <c r="N33" s="25"/>
      <c r="O33" s="26"/>
      <c r="P33" s="4"/>
      <c r="U33" s="23" t="s">
        <v>108</v>
      </c>
      <c r="V33" s="23"/>
      <c r="W33" s="23"/>
    </row>
    <row r="34" spans="2:86" x14ac:dyDescent="0.25">
      <c r="B34" s="6" t="s">
        <v>73</v>
      </c>
      <c r="C34" s="10"/>
      <c r="D34" s="6" t="s">
        <v>72</v>
      </c>
      <c r="E34" s="6" t="s">
        <v>111</v>
      </c>
      <c r="F34" s="6" t="s">
        <v>70</v>
      </c>
      <c r="G34" s="6" t="s">
        <v>69</v>
      </c>
      <c r="H34" s="6" t="s">
        <v>68</v>
      </c>
      <c r="I34" s="6" t="s">
        <v>80</v>
      </c>
      <c r="J34" s="6" t="s">
        <v>81</v>
      </c>
      <c r="K34" s="6" t="s">
        <v>82</v>
      </c>
      <c r="L34" s="6" t="s">
        <v>83</v>
      </c>
      <c r="M34" s="6" t="s">
        <v>84</v>
      </c>
      <c r="N34" s="6" t="s">
        <v>85</v>
      </c>
      <c r="O34" s="6" t="s">
        <v>86</v>
      </c>
      <c r="P34" s="2"/>
      <c r="Q34" s="6" t="s">
        <v>149</v>
      </c>
      <c r="R34" s="6" t="s">
        <v>150</v>
      </c>
      <c r="S34" s="6" t="s">
        <v>151</v>
      </c>
      <c r="T34" s="6" t="s">
        <v>152</v>
      </c>
      <c r="U34" s="6" t="s">
        <v>153</v>
      </c>
      <c r="V34" s="6" t="s">
        <v>154</v>
      </c>
      <c r="W34" s="6" t="s">
        <v>155</v>
      </c>
      <c r="X34" s="6" t="s">
        <v>156</v>
      </c>
      <c r="Y34" s="6" t="s">
        <v>157</v>
      </c>
      <c r="Z34" s="6" t="s">
        <v>158</v>
      </c>
      <c r="AA34" s="6" t="s">
        <v>159</v>
      </c>
      <c r="AB34" s="6" t="s">
        <v>160</v>
      </c>
      <c r="AC34" s="6" t="s">
        <v>167</v>
      </c>
      <c r="AD34" s="6" t="s">
        <v>168</v>
      </c>
      <c r="AE34" s="6" t="s">
        <v>161</v>
      </c>
      <c r="AF34" s="6" t="s">
        <v>162</v>
      </c>
      <c r="AG34" s="6" t="s">
        <v>163</v>
      </c>
      <c r="AH34" s="6" t="s">
        <v>164</v>
      </c>
      <c r="AI34" s="6" t="s">
        <v>165</v>
      </c>
      <c r="AJ34" s="6" t="s">
        <v>166</v>
      </c>
      <c r="AK34" s="21" t="s">
        <v>169</v>
      </c>
      <c r="AL34" s="21" t="s">
        <v>176</v>
      </c>
      <c r="AM34" s="21" t="s">
        <v>170</v>
      </c>
      <c r="AN34" s="21" t="s">
        <v>171</v>
      </c>
      <c r="AO34" s="21" t="s">
        <v>172</v>
      </c>
      <c r="AP34" s="21" t="s">
        <v>173</v>
      </c>
      <c r="AQ34" s="21" t="s">
        <v>174</v>
      </c>
      <c r="AR34" s="21" t="s">
        <v>175</v>
      </c>
      <c r="AS34" s="21" t="s">
        <v>177</v>
      </c>
      <c r="AT34" s="21" t="s">
        <v>178</v>
      </c>
      <c r="AU34" s="21" t="s">
        <v>179</v>
      </c>
      <c r="AV34" s="21" t="s">
        <v>180</v>
      </c>
      <c r="AW34" s="21" t="s">
        <v>181</v>
      </c>
      <c r="AX34" s="21" t="s">
        <v>182</v>
      </c>
      <c r="AY34" s="21" t="s">
        <v>183</v>
      </c>
      <c r="AZ34" s="21" t="s">
        <v>184</v>
      </c>
      <c r="BA34" s="21" t="s">
        <v>185</v>
      </c>
      <c r="BB34" s="21" t="s">
        <v>186</v>
      </c>
      <c r="BC34" s="21" t="s">
        <v>187</v>
      </c>
      <c r="BD34" s="21" t="s">
        <v>188</v>
      </c>
      <c r="BE34" s="21" t="s">
        <v>189</v>
      </c>
      <c r="BF34" s="21" t="s">
        <v>190</v>
      </c>
      <c r="BG34" s="21" t="s">
        <v>191</v>
      </c>
      <c r="BH34" s="21" t="s">
        <v>209</v>
      </c>
      <c r="BI34" s="21" t="s">
        <v>210</v>
      </c>
      <c r="BJ34" s="21" t="s">
        <v>192</v>
      </c>
      <c r="BK34" s="21" t="s">
        <v>193</v>
      </c>
      <c r="BL34" s="21" t="s">
        <v>194</v>
      </c>
      <c r="BM34" s="20" t="s">
        <v>195</v>
      </c>
      <c r="BN34" s="20" t="s">
        <v>196</v>
      </c>
      <c r="BO34" s="20" t="s">
        <v>197</v>
      </c>
      <c r="BP34" s="20" t="s">
        <v>198</v>
      </c>
      <c r="BQ34" s="20" t="s">
        <v>199</v>
      </c>
      <c r="BR34" s="20" t="s">
        <v>200</v>
      </c>
      <c r="BS34" s="20" t="s">
        <v>201</v>
      </c>
      <c r="BT34" s="20" t="s">
        <v>202</v>
      </c>
      <c r="BU34" s="20" t="s">
        <v>203</v>
      </c>
      <c r="BV34" s="20" t="s">
        <v>211</v>
      </c>
      <c r="BW34" s="20" t="s">
        <v>212</v>
      </c>
      <c r="BX34" s="20" t="s">
        <v>212</v>
      </c>
      <c r="BY34" s="20" t="s">
        <v>212</v>
      </c>
      <c r="BZ34" s="20" t="s">
        <v>212</v>
      </c>
      <c r="CA34" s="20" t="s">
        <v>212</v>
      </c>
      <c r="CB34" s="20" t="s">
        <v>212</v>
      </c>
      <c r="CC34" s="20" t="s">
        <v>212</v>
      </c>
      <c r="CD34" s="20" t="s">
        <v>212</v>
      </c>
      <c r="CE34" s="20" t="s">
        <v>212</v>
      </c>
      <c r="CF34" s="20" t="s">
        <v>212</v>
      </c>
      <c r="CG34" s="20" t="s">
        <v>212</v>
      </c>
      <c r="CH34" s="6" t="s">
        <v>71</v>
      </c>
    </row>
    <row r="35" spans="2:86" x14ac:dyDescent="0.25">
      <c r="B35" s="11" t="b">
        <f t="array" ref="B35" ca="1">SUM((prevClusters&lt;&gt;newClusters)*1)=0</f>
        <v>1</v>
      </c>
      <c r="C35" s="1"/>
      <c r="D35" s="9">
        <v>5</v>
      </c>
      <c r="E35" s="9">
        <f t="shared" ref="E35:E76" ca="1" si="21">MATCH(MIN(F35:O35),F35:O35,0)</f>
        <v>5</v>
      </c>
      <c r="F35" s="8">
        <f t="array" aca="1" ref="F35" ca="1">IF(SUM(OFFSET(Factors,VALUE(RIGHT(F$34,2)),1,1,68))=0,"None",SQRT(SUM((OFFSET(Factors,VALUE(RIGHT(F$34,2)),1,1,68)-$R35:$CG35)^2)))</f>
        <v>2.1602468994692865</v>
      </c>
      <c r="G35" s="8">
        <f t="array" aca="1" ref="G35" ca="1">IF(SUM(OFFSET(Factors,VALUE(RIGHT(G$34,2)),1,1,68))=0,"None",SQRT(SUM((OFFSET(Factors,VALUE(RIGHT(G$34,2)),1,1,68)-$R35:$CG35)^2)))</f>
        <v>2.1473497877875207</v>
      </c>
      <c r="H35" s="8">
        <f t="array" aca="1" ref="H35" ca="1">IF(SUM(OFFSET(Factors,VALUE(RIGHT(H$34,2)),1,1,68))=0,"None",SQRT(SUM((OFFSET(Factors,VALUE(RIGHT(H$34,2)),1,1,68)-$R35:$CG35)^2)))</f>
        <v>2.6683328128252666</v>
      </c>
      <c r="I35" s="8">
        <f t="array" aca="1" ref="I35" ca="1">IF(SUM(OFFSET(Factors,VALUE(RIGHT(I$34,2)),1,1,68))=0,"None",SQRT(SUM((OFFSET(Factors,VALUE(RIGHT(I$34,2)),1,1,68)-$R35:$CG35)^2)))</f>
        <v>2.4944382578492941</v>
      </c>
      <c r="J35" s="8">
        <f t="array" aca="1" ref="J35" ca="1">IF(SUM(OFFSET(Factors,VALUE(RIGHT(J$34,2)),1,1,68))=0,"None",SQRT(SUM((OFFSET(Factors,VALUE(RIGHT(J$34,2)),1,1,68)-$R35:$CG35)^2)))</f>
        <v>1.5231546211727816</v>
      </c>
      <c r="K35" s="8">
        <f t="array" aca="1" ref="K35" ca="1">IF(SUM(OFFSET(Factors,VALUE(RIGHT(K$34,2)),1,1,68))=0,"None",SQRT(SUM((OFFSET(Factors,VALUE(RIGHT(K$34,2)),1,1,68)-$R35:$CG35)^2)))</f>
        <v>2.6034165586355513</v>
      </c>
      <c r="L35" s="8">
        <f t="array" aca="1" ref="L35" ca="1">IF(SUM(OFFSET(Factors,VALUE(RIGHT(L$34,2)),1,1,68))=0,"None",SQRT(SUM((OFFSET(Factors,VALUE(RIGHT(L$34,2)),1,1,68)-$R35:$CG35)^2)))</f>
        <v>2.4494897427831779</v>
      </c>
      <c r="M35" s="8">
        <f t="array" aca="1" ref="M35" ca="1">IF(SUM(OFFSET(Factors,VALUE(RIGHT(M$34,2)),1,1,68))=0,"None",SQRT(SUM((OFFSET(Factors,VALUE(RIGHT(M$34,2)),1,1,68)-$R35:$CG35)^2)))</f>
        <v>2.5248762345905194</v>
      </c>
      <c r="N35" s="8">
        <f t="array" aca="1" ref="N35" ca="1">IF(SUM(OFFSET(Factors,VALUE(RIGHT(N$34,2)),1,1,68))=0,"None",SQRT(SUM((OFFSET(Factors,VALUE(RIGHT(N$34,2)),1,1,68)-$R35:$CG35)^2)))</f>
        <v>2.7386127875258306</v>
      </c>
      <c r="O35" s="8">
        <f t="array" aca="1" ref="O35" ca="1">IF(SUM(OFFSET(Factors,VALUE(RIGHT(O$34,2)),1,1,68))=0,"None",SQRT(SUM((OFFSET(Factors,VALUE(RIGHT(O$34,2)),1,1,68)-$R35:$CG35)^2)))</f>
        <v>2.4166091947189146</v>
      </c>
      <c r="Q35" s="17" t="s">
        <v>112</v>
      </c>
      <c r="R35" s="7">
        <v>0</v>
      </c>
      <c r="S35" s="7">
        <v>0</v>
      </c>
      <c r="T35" s="7">
        <v>1</v>
      </c>
      <c r="U35" s="7">
        <v>0</v>
      </c>
      <c r="V35" s="7">
        <v>0</v>
      </c>
      <c r="W35" s="7">
        <v>0</v>
      </c>
      <c r="X35" s="7">
        <v>0</v>
      </c>
      <c r="Y35" s="7">
        <v>0</v>
      </c>
      <c r="Z35" s="7">
        <v>0</v>
      </c>
      <c r="AA35" s="7">
        <v>0</v>
      </c>
      <c r="AB35" s="7">
        <v>0</v>
      </c>
      <c r="AC35" s="7">
        <v>0</v>
      </c>
      <c r="AD35" s="7">
        <v>0</v>
      </c>
      <c r="AE35" s="7">
        <v>0</v>
      </c>
      <c r="AF35" s="7">
        <v>0</v>
      </c>
      <c r="AG35" s="7">
        <v>0</v>
      </c>
      <c r="AH35" s="7">
        <v>0</v>
      </c>
      <c r="AI35" s="7">
        <v>0</v>
      </c>
      <c r="AJ35" s="7">
        <v>0</v>
      </c>
      <c r="AK35" s="7">
        <v>0</v>
      </c>
      <c r="AL35" s="7">
        <v>0</v>
      </c>
      <c r="AM35" s="7">
        <v>1</v>
      </c>
      <c r="AN35" s="7">
        <v>0</v>
      </c>
      <c r="AO35" s="7">
        <v>0</v>
      </c>
      <c r="AP35" s="7">
        <v>0</v>
      </c>
      <c r="AQ35" s="7">
        <v>0</v>
      </c>
      <c r="AR35" s="7">
        <v>0</v>
      </c>
      <c r="AS35" s="7">
        <v>0</v>
      </c>
      <c r="AT35" s="7">
        <v>0</v>
      </c>
      <c r="AU35" s="7">
        <v>0</v>
      </c>
      <c r="AV35" s="7">
        <v>0</v>
      </c>
      <c r="AW35" s="7">
        <v>0</v>
      </c>
      <c r="AX35" s="7">
        <v>0</v>
      </c>
      <c r="AY35" s="7">
        <v>0</v>
      </c>
      <c r="AZ35" s="7">
        <v>0</v>
      </c>
      <c r="BA35" s="7">
        <v>1</v>
      </c>
      <c r="BB35" s="7">
        <v>0</v>
      </c>
      <c r="BC35" s="7">
        <v>0</v>
      </c>
      <c r="BD35" s="7">
        <v>0</v>
      </c>
      <c r="BE35" s="7">
        <v>0</v>
      </c>
      <c r="BF35" s="7">
        <v>0</v>
      </c>
      <c r="BG35" s="7">
        <v>0</v>
      </c>
      <c r="BH35" s="7">
        <v>0</v>
      </c>
      <c r="BI35" s="7">
        <v>0</v>
      </c>
      <c r="BJ35" s="7">
        <v>1</v>
      </c>
      <c r="BK35" s="7">
        <v>0</v>
      </c>
      <c r="BL35" s="7">
        <v>0</v>
      </c>
      <c r="BM35" s="7">
        <v>0</v>
      </c>
      <c r="BN35" s="7">
        <v>0</v>
      </c>
      <c r="BO35" s="7">
        <v>0</v>
      </c>
      <c r="BP35" s="7">
        <v>0</v>
      </c>
      <c r="BQ35" s="7">
        <v>0</v>
      </c>
      <c r="BR35" s="7">
        <v>0</v>
      </c>
      <c r="BS35" s="7">
        <v>0</v>
      </c>
      <c r="BT35" s="7">
        <v>0</v>
      </c>
      <c r="BU35" s="7">
        <v>0</v>
      </c>
      <c r="BV35" s="7">
        <v>0</v>
      </c>
      <c r="BW35" s="7"/>
      <c r="BX35" s="7"/>
      <c r="BY35" s="7"/>
      <c r="BZ35" s="7"/>
      <c r="CA35" s="7"/>
      <c r="CB35" s="7"/>
      <c r="CC35" s="7"/>
      <c r="CD35" s="7"/>
      <c r="CE35" s="7"/>
      <c r="CF35" s="7"/>
      <c r="CG35" s="7"/>
      <c r="CH35" s="7">
        <f ca="1">E35</f>
        <v>5</v>
      </c>
    </row>
    <row r="36" spans="2:86" x14ac:dyDescent="0.25">
      <c r="B36" s="1"/>
      <c r="C36" s="1"/>
      <c r="D36" s="9">
        <v>5</v>
      </c>
      <c r="E36" s="9">
        <f t="shared" ca="1" si="21"/>
        <v>5</v>
      </c>
      <c r="F36" s="8">
        <f t="array" aca="1" ref="F36" ca="1">IF(SUM(OFFSET(Factors,VALUE(RIGHT(F$34,2)),1,1,68))=0,"None",SQRT(SUM((OFFSET(Factors,VALUE(RIGHT(F$34,2)),1,1,68)-$R36:$CG36)^2)))</f>
        <v>2.1602468994692865</v>
      </c>
      <c r="G36" s="8">
        <f t="array" aca="1" ref="G36" ca="1">IF(SUM(OFFSET(Factors,VALUE(RIGHT(G$34,2)),1,1,68))=0,"None",SQRT(SUM((OFFSET(Factors,VALUE(RIGHT(G$34,2)),1,1,68)-$R36:$CG36)^2)))</f>
        <v>2.1473497877875207</v>
      </c>
      <c r="H36" s="8">
        <f t="array" aca="1" ref="H36" ca="1">IF(SUM(OFFSET(Factors,VALUE(RIGHT(H$34,2)),1,1,68))=0,"None",SQRT(SUM((OFFSET(Factors,VALUE(RIGHT(H$34,2)),1,1,68)-$R36:$CG36)^2)))</f>
        <v>2.6683328128252666</v>
      </c>
      <c r="I36" s="8">
        <f t="array" aca="1" ref="I36" ca="1">IF(SUM(OFFSET(Factors,VALUE(RIGHT(I$34,2)),1,1,68))=0,"None",SQRT(SUM((OFFSET(Factors,VALUE(RIGHT(I$34,2)),1,1,68)-$R36:$CG36)^2)))</f>
        <v>2.4944382578492941</v>
      </c>
      <c r="J36" s="8">
        <f t="array" aca="1" ref="J36" ca="1">IF(SUM(OFFSET(Factors,VALUE(RIGHT(J$34,2)),1,1,68))=0,"None",SQRT(SUM((OFFSET(Factors,VALUE(RIGHT(J$34,2)),1,1,68)-$R36:$CG36)^2)))</f>
        <v>1.5231546211727816</v>
      </c>
      <c r="K36" s="8">
        <f t="array" aca="1" ref="K36" ca="1">IF(SUM(OFFSET(Factors,VALUE(RIGHT(K$34,2)),1,1,68))=0,"None",SQRT(SUM((OFFSET(Factors,VALUE(RIGHT(K$34,2)),1,1,68)-$R36:$CG36)^2)))</f>
        <v>2.6034165586355513</v>
      </c>
      <c r="L36" s="8">
        <f t="array" aca="1" ref="L36" ca="1">IF(SUM(OFFSET(Factors,VALUE(RIGHT(L$34,2)),1,1,68))=0,"None",SQRT(SUM((OFFSET(Factors,VALUE(RIGHT(L$34,2)),1,1,68)-$R36:$CG36)^2)))</f>
        <v>2.4494897427831779</v>
      </c>
      <c r="M36" s="8">
        <f t="array" aca="1" ref="M36" ca="1">IF(SUM(OFFSET(Factors,VALUE(RIGHT(M$34,2)),1,1,68))=0,"None",SQRT(SUM((OFFSET(Factors,VALUE(RIGHT(M$34,2)),1,1,68)-$R36:$CG36)^2)))</f>
        <v>2.5248762345905194</v>
      </c>
      <c r="N36" s="8">
        <f t="array" aca="1" ref="N36" ca="1">IF(SUM(OFFSET(Factors,VALUE(RIGHT(N$34,2)),1,1,68))=0,"None",SQRT(SUM((OFFSET(Factors,VALUE(RIGHT(N$34,2)),1,1,68)-$R36:$CG36)^2)))</f>
        <v>2.7386127875258306</v>
      </c>
      <c r="O36" s="8">
        <f t="array" aca="1" ref="O36" ca="1">IF(SUM(OFFSET(Factors,VALUE(RIGHT(O$34,2)),1,1,68))=0,"None",SQRT(SUM((OFFSET(Factors,VALUE(RIGHT(O$34,2)),1,1,68)-$R36:$CG36)^2)))</f>
        <v>2.4166091947189146</v>
      </c>
      <c r="Q36" s="18" t="s">
        <v>113</v>
      </c>
      <c r="R36" s="7">
        <v>0</v>
      </c>
      <c r="S36" s="7">
        <v>0</v>
      </c>
      <c r="T36" s="7">
        <v>1</v>
      </c>
      <c r="U36" s="7">
        <v>0</v>
      </c>
      <c r="V36" s="7">
        <v>0</v>
      </c>
      <c r="W36" s="7">
        <v>0</v>
      </c>
      <c r="X36" s="7">
        <v>0</v>
      </c>
      <c r="Y36" s="7">
        <v>0</v>
      </c>
      <c r="Z36" s="7">
        <v>0</v>
      </c>
      <c r="AA36" s="7">
        <v>0</v>
      </c>
      <c r="AB36" s="7">
        <v>0</v>
      </c>
      <c r="AC36" s="7">
        <v>0</v>
      </c>
      <c r="AD36" s="7">
        <v>0</v>
      </c>
      <c r="AE36" s="7">
        <v>0</v>
      </c>
      <c r="AF36" s="7">
        <v>0</v>
      </c>
      <c r="AG36" s="7">
        <v>0</v>
      </c>
      <c r="AH36" s="7">
        <v>0</v>
      </c>
      <c r="AI36" s="7">
        <v>0</v>
      </c>
      <c r="AJ36" s="7">
        <v>0</v>
      </c>
      <c r="AK36" s="7">
        <v>0</v>
      </c>
      <c r="AL36" s="7">
        <v>0</v>
      </c>
      <c r="AM36" s="7">
        <v>1</v>
      </c>
      <c r="AN36" s="7">
        <v>0</v>
      </c>
      <c r="AO36" s="7">
        <v>0</v>
      </c>
      <c r="AP36" s="7">
        <v>0</v>
      </c>
      <c r="AQ36" s="7">
        <v>0</v>
      </c>
      <c r="AR36" s="7">
        <v>0</v>
      </c>
      <c r="AS36" s="7">
        <v>0</v>
      </c>
      <c r="AT36" s="7">
        <v>0</v>
      </c>
      <c r="AU36" s="7">
        <v>0</v>
      </c>
      <c r="AV36" s="7">
        <v>0</v>
      </c>
      <c r="AW36" s="7">
        <v>0</v>
      </c>
      <c r="AX36" s="7">
        <v>0</v>
      </c>
      <c r="AY36" s="7">
        <v>0</v>
      </c>
      <c r="AZ36" s="7">
        <v>0</v>
      </c>
      <c r="BA36" s="7">
        <v>1</v>
      </c>
      <c r="BB36" s="7">
        <v>0</v>
      </c>
      <c r="BC36" s="7">
        <v>0</v>
      </c>
      <c r="BD36" s="7">
        <v>0</v>
      </c>
      <c r="BE36" s="7">
        <v>0</v>
      </c>
      <c r="BF36" s="7">
        <v>0</v>
      </c>
      <c r="BG36" s="7">
        <v>0</v>
      </c>
      <c r="BH36" s="7">
        <v>0</v>
      </c>
      <c r="BI36" s="7">
        <v>0</v>
      </c>
      <c r="BJ36" s="7">
        <v>1</v>
      </c>
      <c r="BK36" s="7">
        <v>0</v>
      </c>
      <c r="BL36" s="7">
        <v>0</v>
      </c>
      <c r="BM36" s="7">
        <v>0</v>
      </c>
      <c r="BN36" s="7">
        <v>0</v>
      </c>
      <c r="BO36" s="7">
        <v>0</v>
      </c>
      <c r="BP36" s="7">
        <v>0</v>
      </c>
      <c r="BQ36" s="7">
        <v>0</v>
      </c>
      <c r="BR36" s="7">
        <v>0</v>
      </c>
      <c r="BS36" s="7">
        <v>0</v>
      </c>
      <c r="BT36" s="7">
        <v>0</v>
      </c>
      <c r="BU36" s="7">
        <v>0</v>
      </c>
      <c r="BV36" s="7">
        <v>0</v>
      </c>
      <c r="BW36" s="7"/>
      <c r="BX36" s="7"/>
      <c r="BY36" s="7"/>
      <c r="BZ36" s="7"/>
      <c r="CA36" s="7"/>
      <c r="CB36" s="7"/>
      <c r="CC36" s="7"/>
      <c r="CD36" s="7"/>
      <c r="CE36" s="7"/>
      <c r="CF36" s="7"/>
      <c r="CG36" s="7"/>
      <c r="CH36" s="9">
        <f ca="1">E36</f>
        <v>5</v>
      </c>
    </row>
    <row r="37" spans="2:86" x14ac:dyDescent="0.25">
      <c r="B37" s="1"/>
      <c r="C37" s="10"/>
      <c r="D37" s="9">
        <v>9</v>
      </c>
      <c r="E37" s="9">
        <f t="shared" ca="1" si="21"/>
        <v>9</v>
      </c>
      <c r="F37" s="8">
        <f t="array" aca="1" ref="F37" ca="1">IF(SUM(OFFSET(Factors,VALUE(RIGHT(F$34,2)),1,1,68))=0,"None",SQRT(SUM((OFFSET(Factors,VALUE(RIGHT(F$34,2)),1,1,68)-$R37:$CG37)^2)))</f>
        <v>2.1602468994692865</v>
      </c>
      <c r="G37" s="8">
        <f t="array" aca="1" ref="G37" ca="1">IF(SUM(OFFSET(Factors,VALUE(RIGHT(G$34,2)),1,1,68))=0,"None",SQRT(SUM((OFFSET(Factors,VALUE(RIGHT(G$34,2)),1,1,68)-$R37:$CG37)^2)))</f>
        <v>2.4381231397212986</v>
      </c>
      <c r="H37" s="8">
        <f t="array" aca="1" ref="H37" ca="1">IF(SUM(OFFSET(Factors,VALUE(RIGHT(H$34,2)),1,1,68))=0,"None",SQRT(SUM((OFFSET(Factors,VALUE(RIGHT(H$34,2)),1,1,68)-$R37:$CG37)^2)))</f>
        <v>2.6683328128252666</v>
      </c>
      <c r="I37" s="8">
        <f t="array" aca="1" ref="I37" ca="1">IF(SUM(OFFSET(Factors,VALUE(RIGHT(I$34,2)),1,1,68))=0,"None",SQRT(SUM((OFFSET(Factors,VALUE(RIGHT(I$34,2)),1,1,68)-$R37:$CG37)^2)))</f>
        <v>2.2110831935702664</v>
      </c>
      <c r="J37" s="8">
        <f t="array" aca="1" ref="J37" ca="1">IF(SUM(OFFSET(Factors,VALUE(RIGHT(J$34,2)),1,1,68))=0,"None",SQRT(SUM((OFFSET(Factors,VALUE(RIGHT(J$34,2)),1,1,68)-$R37:$CG37)^2)))</f>
        <v>2.3494680248941462</v>
      </c>
      <c r="K37" s="8">
        <f t="array" aca="1" ref="K37" ca="1">IF(SUM(OFFSET(Factors,VALUE(RIGHT(K$34,2)),1,1,68))=0,"None",SQRT(SUM((OFFSET(Factors,VALUE(RIGHT(K$34,2)),1,1,68)-$R37:$CG37)^2)))</f>
        <v>2.6034165586355513</v>
      </c>
      <c r="L37" s="8">
        <f t="array" aca="1" ref="L37" ca="1">IF(SUM(OFFSET(Factors,VALUE(RIGHT(L$34,2)),1,1,68))=0,"None",SQRT(SUM((OFFSET(Factors,VALUE(RIGHT(L$34,2)),1,1,68)-$R37:$CG37)^2)))</f>
        <v>2.8284271247461903</v>
      </c>
      <c r="M37" s="8">
        <f t="array" aca="1" ref="M37" ca="1">IF(SUM(OFFSET(Factors,VALUE(RIGHT(M$34,2)),1,1,68))=0,"None",SQRT(SUM((OFFSET(Factors,VALUE(RIGHT(M$34,2)),1,1,68)-$R37:$CG37)^2)))</f>
        <v>2.4238399287081647</v>
      </c>
      <c r="N37" s="8">
        <f t="array" aca="1" ref="N37" ca="1">IF(SUM(OFFSET(Factors,VALUE(RIGHT(N$34,2)),1,1,68))=0,"None",SQRT(SUM((OFFSET(Factors,VALUE(RIGHT(N$34,2)),1,1,68)-$R37:$CG37)^2)))</f>
        <v>0.70710678118654757</v>
      </c>
      <c r="O37" s="8">
        <f t="array" aca="1" ref="O37" ca="1">IF(SUM(OFFSET(Factors,VALUE(RIGHT(O$34,2)),1,1,68))=0,"None",SQRT(SUM((OFFSET(Factors,VALUE(RIGHT(O$34,2)),1,1,68)-$R37:$CG37)^2)))</f>
        <v>2.5768197453450252</v>
      </c>
      <c r="Q37" s="18" t="s">
        <v>114</v>
      </c>
      <c r="R37" s="7">
        <v>0</v>
      </c>
      <c r="S37" s="7">
        <v>0</v>
      </c>
      <c r="T37" s="7">
        <v>0</v>
      </c>
      <c r="U37" s="7">
        <v>0</v>
      </c>
      <c r="V37" s="7">
        <v>0</v>
      </c>
      <c r="W37" s="7">
        <v>0</v>
      </c>
      <c r="X37" s="7">
        <v>0</v>
      </c>
      <c r="Y37" s="7">
        <v>0</v>
      </c>
      <c r="Z37" s="7">
        <v>0</v>
      </c>
      <c r="AA37" s="7">
        <v>0</v>
      </c>
      <c r="AB37" s="7">
        <v>1</v>
      </c>
      <c r="AC37" s="7">
        <v>0</v>
      </c>
      <c r="AD37" s="7">
        <v>0</v>
      </c>
      <c r="AE37" s="7">
        <v>0</v>
      </c>
      <c r="AF37" s="7">
        <v>0</v>
      </c>
      <c r="AG37" s="7">
        <v>0</v>
      </c>
      <c r="AH37" s="7">
        <v>0</v>
      </c>
      <c r="AI37" s="7">
        <v>0</v>
      </c>
      <c r="AJ37" s="7">
        <v>0</v>
      </c>
      <c r="AK37" s="7">
        <v>0</v>
      </c>
      <c r="AL37" s="7">
        <v>0</v>
      </c>
      <c r="AM37" s="7">
        <v>0</v>
      </c>
      <c r="AN37" s="7">
        <v>0</v>
      </c>
      <c r="AO37" s="7">
        <v>0</v>
      </c>
      <c r="AP37" s="7">
        <v>1</v>
      </c>
      <c r="AQ37" s="7">
        <v>0</v>
      </c>
      <c r="AR37" s="7">
        <v>0</v>
      </c>
      <c r="AS37" s="7">
        <v>0</v>
      </c>
      <c r="AT37" s="7">
        <v>0</v>
      </c>
      <c r="AU37" s="7">
        <v>0</v>
      </c>
      <c r="AV37" s="7">
        <v>0</v>
      </c>
      <c r="AW37" s="7">
        <v>0</v>
      </c>
      <c r="AX37" s="7">
        <v>0</v>
      </c>
      <c r="AY37" s="7">
        <v>0</v>
      </c>
      <c r="AZ37" s="7">
        <v>0</v>
      </c>
      <c r="BA37" s="7">
        <v>0</v>
      </c>
      <c r="BB37" s="7">
        <v>0</v>
      </c>
      <c r="BC37" s="7">
        <v>0</v>
      </c>
      <c r="BD37" s="7">
        <v>0</v>
      </c>
      <c r="BE37" s="7">
        <v>0</v>
      </c>
      <c r="BF37" s="7">
        <v>0</v>
      </c>
      <c r="BG37" s="7">
        <v>0</v>
      </c>
      <c r="BH37" s="7">
        <v>1</v>
      </c>
      <c r="BI37" s="7">
        <v>0</v>
      </c>
      <c r="BJ37" s="7">
        <v>0</v>
      </c>
      <c r="BK37" s="7">
        <v>1</v>
      </c>
      <c r="BL37" s="7">
        <v>0</v>
      </c>
      <c r="BM37" s="7">
        <v>0</v>
      </c>
      <c r="BN37" s="7">
        <v>0</v>
      </c>
      <c r="BO37" s="7">
        <v>0</v>
      </c>
      <c r="BP37" s="7">
        <v>0</v>
      </c>
      <c r="BQ37" s="7">
        <v>0</v>
      </c>
      <c r="BR37" s="7">
        <v>0</v>
      </c>
      <c r="BS37" s="7">
        <v>0</v>
      </c>
      <c r="BT37" s="7">
        <v>0</v>
      </c>
      <c r="BU37" s="7">
        <v>0</v>
      </c>
      <c r="BV37" s="7">
        <v>0</v>
      </c>
      <c r="BW37" s="7"/>
      <c r="BX37" s="7"/>
      <c r="BY37" s="7"/>
      <c r="BZ37" s="7"/>
      <c r="CA37" s="7"/>
      <c r="CB37" s="7"/>
      <c r="CC37" s="7"/>
      <c r="CD37" s="7"/>
      <c r="CE37" s="7"/>
      <c r="CF37" s="7"/>
      <c r="CG37" s="7"/>
      <c r="CH37" s="9">
        <f ca="1">E37</f>
        <v>9</v>
      </c>
    </row>
    <row r="38" spans="2:86" x14ac:dyDescent="0.25">
      <c r="B38" s="1"/>
      <c r="C38" s="1"/>
      <c r="D38" s="9">
        <v>9</v>
      </c>
      <c r="E38" s="9">
        <f t="shared" ca="1" si="21"/>
        <v>9</v>
      </c>
      <c r="F38" s="8">
        <f t="array" aca="1" ref="F38" ca="1">IF(SUM(OFFSET(Factors,VALUE(RIGHT(F$34,2)),1,1,68))=0,"None",SQRT(SUM((OFFSET(Factors,VALUE(RIGHT(F$34,2)),1,1,68)-$R38:$CG38)^2)))</f>
        <v>2.4494897427831779</v>
      </c>
      <c r="G38" s="8">
        <f t="array" aca="1" ref="G38" ca="1">IF(SUM(OFFSET(Factors,VALUE(RIGHT(G$34,2)),1,1,68))=0,"None",SQRT(SUM((OFFSET(Factors,VALUE(RIGHT(G$34,2)),1,1,68)-$R38:$CG38)^2)))</f>
        <v>2.4381231397212986</v>
      </c>
      <c r="H38" s="8">
        <f t="array" aca="1" ref="H38" ca="1">IF(SUM(OFFSET(Factors,VALUE(RIGHT(H$34,2)),1,1,68))=0,"None",SQRT(SUM((OFFSET(Factors,VALUE(RIGHT(H$34,2)),1,1,68)-$R38:$CG38)^2)))</f>
        <v>2.6683328128252666</v>
      </c>
      <c r="I38" s="8">
        <f t="array" aca="1" ref="I38" ca="1">IF(SUM(OFFSET(Factors,VALUE(RIGHT(I$34,2)),1,1,68))=0,"None",SQRT(SUM((OFFSET(Factors,VALUE(RIGHT(I$34,2)),1,1,68)-$R38:$CG38)^2)))</f>
        <v>2.0548046676563252</v>
      </c>
      <c r="J38" s="8">
        <f t="array" aca="1" ref="J38" ca="1">IF(SUM(OFFSET(Factors,VALUE(RIGHT(J$34,2)),1,1,68))=0,"None",SQRT(SUM((OFFSET(Factors,VALUE(RIGHT(J$34,2)),1,1,68)-$R38:$CG38)^2)))</f>
        <v>2.3494680248941462</v>
      </c>
      <c r="K38" s="8">
        <f t="array" aca="1" ref="K38" ca="1">IF(SUM(OFFSET(Factors,VALUE(RIGHT(K$34,2)),1,1,68))=0,"None",SQRT(SUM((OFFSET(Factors,VALUE(RIGHT(K$34,2)),1,1,68)-$R38:$CG38)^2)))</f>
        <v>2.6034165586355513</v>
      </c>
      <c r="L38" s="8">
        <f t="array" aca="1" ref="L38" ca="1">IF(SUM(OFFSET(Factors,VALUE(RIGHT(L$34,2)),1,1,68))=0,"None",SQRT(SUM((OFFSET(Factors,VALUE(RIGHT(L$34,2)),1,1,68)-$R38:$CG38)^2)))</f>
        <v>2.8284271247461903</v>
      </c>
      <c r="M38" s="8">
        <f t="array" aca="1" ref="M38" ca="1">IF(SUM(OFFSET(Factors,VALUE(RIGHT(M$34,2)),1,1,68))=0,"None",SQRT(SUM((OFFSET(Factors,VALUE(RIGHT(M$34,2)),1,1,68)-$R38:$CG38)^2)))</f>
        <v>2.5248762345905194</v>
      </c>
      <c r="N38" s="8">
        <f t="array" aca="1" ref="N38" ca="1">IF(SUM(OFFSET(Factors,VALUE(RIGHT(N$34,2)),1,1,68))=0,"None",SQRT(SUM((OFFSET(Factors,VALUE(RIGHT(N$34,2)),1,1,68)-$R38:$CG38)^2)))</f>
        <v>0.70710678118654757</v>
      </c>
      <c r="O38" s="8">
        <f t="array" aca="1" ref="O38" ca="1">IF(SUM(OFFSET(Factors,VALUE(RIGHT(O$34,2)),1,1,68))=0,"None",SQRT(SUM((OFFSET(Factors,VALUE(RIGHT(O$34,2)),1,1,68)-$R38:$CG38)^2)))</f>
        <v>2.5768197453450252</v>
      </c>
      <c r="Q38" s="18" t="s">
        <v>115</v>
      </c>
      <c r="R38" s="7">
        <v>0</v>
      </c>
      <c r="S38" s="7">
        <v>0</v>
      </c>
      <c r="T38" s="7">
        <v>0</v>
      </c>
      <c r="U38" s="7">
        <v>0</v>
      </c>
      <c r="V38" s="7">
        <v>0</v>
      </c>
      <c r="W38" s="7">
        <v>0</v>
      </c>
      <c r="X38" s="7">
        <v>0</v>
      </c>
      <c r="Y38" s="7">
        <v>0</v>
      </c>
      <c r="Z38" s="7">
        <v>0</v>
      </c>
      <c r="AA38" s="7">
        <v>1</v>
      </c>
      <c r="AB38" s="7">
        <v>0</v>
      </c>
      <c r="AC38" s="7">
        <v>0</v>
      </c>
      <c r="AD38" s="7">
        <v>0</v>
      </c>
      <c r="AE38" s="7">
        <v>0</v>
      </c>
      <c r="AF38" s="7">
        <v>0</v>
      </c>
      <c r="AG38" s="7">
        <v>0</v>
      </c>
      <c r="AH38" s="7">
        <v>0</v>
      </c>
      <c r="AI38" s="7">
        <v>0</v>
      </c>
      <c r="AJ38" s="7">
        <v>0</v>
      </c>
      <c r="AK38" s="7">
        <v>0</v>
      </c>
      <c r="AL38" s="7">
        <v>0</v>
      </c>
      <c r="AM38" s="7">
        <v>0</v>
      </c>
      <c r="AN38" s="7">
        <v>0</v>
      </c>
      <c r="AO38" s="7">
        <v>0</v>
      </c>
      <c r="AP38" s="7">
        <v>1</v>
      </c>
      <c r="AQ38" s="7">
        <v>0</v>
      </c>
      <c r="AR38" s="7">
        <v>0</v>
      </c>
      <c r="AS38" s="7">
        <v>0</v>
      </c>
      <c r="AT38" s="7">
        <v>0</v>
      </c>
      <c r="AU38" s="7">
        <v>0</v>
      </c>
      <c r="AV38" s="7">
        <v>0</v>
      </c>
      <c r="AW38" s="7">
        <v>0</v>
      </c>
      <c r="AX38" s="7">
        <v>0</v>
      </c>
      <c r="AY38" s="7">
        <v>0</v>
      </c>
      <c r="AZ38" s="7">
        <v>0</v>
      </c>
      <c r="BA38" s="7">
        <v>0</v>
      </c>
      <c r="BB38" s="7">
        <v>0</v>
      </c>
      <c r="BC38" s="7">
        <v>0</v>
      </c>
      <c r="BD38" s="7">
        <v>0</v>
      </c>
      <c r="BE38" s="7">
        <v>0</v>
      </c>
      <c r="BF38" s="7">
        <v>0</v>
      </c>
      <c r="BG38" s="7">
        <v>0</v>
      </c>
      <c r="BH38" s="7">
        <v>1</v>
      </c>
      <c r="BI38" s="7">
        <v>0</v>
      </c>
      <c r="BJ38" s="7">
        <v>0</v>
      </c>
      <c r="BK38" s="7">
        <v>1</v>
      </c>
      <c r="BL38" s="7">
        <v>0</v>
      </c>
      <c r="BM38" s="7">
        <v>0</v>
      </c>
      <c r="BN38" s="7">
        <v>0</v>
      </c>
      <c r="BO38" s="7">
        <v>0</v>
      </c>
      <c r="BP38" s="7">
        <v>0</v>
      </c>
      <c r="BQ38" s="7">
        <v>0</v>
      </c>
      <c r="BR38" s="7">
        <v>0</v>
      </c>
      <c r="BS38" s="7">
        <v>0</v>
      </c>
      <c r="BT38" s="7">
        <v>0</v>
      </c>
      <c r="BU38" s="7">
        <v>0</v>
      </c>
      <c r="BV38" s="7">
        <v>0</v>
      </c>
      <c r="BW38" s="7"/>
      <c r="BX38" s="7"/>
      <c r="BY38" s="7"/>
      <c r="BZ38" s="7"/>
      <c r="CA38" s="7"/>
      <c r="CB38" s="7"/>
      <c r="CC38" s="7"/>
      <c r="CD38" s="7"/>
      <c r="CE38" s="7"/>
      <c r="CF38" s="7"/>
      <c r="CG38" s="7"/>
      <c r="CH38" s="9">
        <f ca="1">E38</f>
        <v>9</v>
      </c>
    </row>
    <row r="39" spans="2:86" x14ac:dyDescent="0.25">
      <c r="B39" s="1"/>
      <c r="D39" s="9">
        <v>4</v>
      </c>
      <c r="E39" s="9">
        <f t="shared" ca="1" si="21"/>
        <v>4</v>
      </c>
      <c r="F39" s="8">
        <f t="array" aca="1" ref="F39" ca="1">IF(SUM(OFFSET(Factors,VALUE(RIGHT(F$34,2)),1,1,68))=0,"None",SQRT(SUM((OFFSET(Factors,VALUE(RIGHT(F$34,2)),1,1,68)-$R39:$CG39)^2)))</f>
        <v>2.3094010767585034</v>
      </c>
      <c r="G39" s="8">
        <f t="array" aca="1" ref="G39" ca="1">IF(SUM(OFFSET(Factors,VALUE(RIGHT(G$34,2)),1,1,68))=0,"None",SQRT(SUM((OFFSET(Factors,VALUE(RIGHT(G$34,2)),1,1,68)-$R39:$CG39)^2)))</f>
        <v>2.4381231397212986</v>
      </c>
      <c r="H39" s="8">
        <f t="array" aca="1" ref="H39" ca="1">IF(SUM(OFFSET(Factors,VALUE(RIGHT(H$34,2)),1,1,68))=0,"None",SQRT(SUM((OFFSET(Factors,VALUE(RIGHT(H$34,2)),1,1,68)-$R39:$CG39)^2)))</f>
        <v>2.6683328128252666</v>
      </c>
      <c r="I39" s="8">
        <f t="array" aca="1" ref="I39" ca="1">IF(SUM(OFFSET(Factors,VALUE(RIGHT(I$34,2)),1,1,68))=0,"None",SQRT(SUM((OFFSET(Factors,VALUE(RIGHT(I$34,2)),1,1,68)-$R39:$CG39)^2)))</f>
        <v>1.2472191289246473</v>
      </c>
      <c r="J39" s="8">
        <f t="array" aca="1" ref="J39" ca="1">IF(SUM(OFFSET(Factors,VALUE(RIGHT(J$34,2)),1,1,68))=0,"None",SQRT(SUM((OFFSET(Factors,VALUE(RIGHT(J$34,2)),1,1,68)-$R39:$CG39)^2)))</f>
        <v>2.1725560982400429</v>
      </c>
      <c r="K39" s="8">
        <f t="array" aca="1" ref="K39" ca="1">IF(SUM(OFFSET(Factors,VALUE(RIGHT(K$34,2)),1,1,68))=0,"None",SQRT(SUM((OFFSET(Factors,VALUE(RIGHT(K$34,2)),1,1,68)-$R39:$CG39)^2)))</f>
        <v>2.6034165586355513</v>
      </c>
      <c r="L39" s="8">
        <f t="array" aca="1" ref="L39" ca="1">IF(SUM(OFFSET(Factors,VALUE(RIGHT(L$34,2)),1,1,68))=0,"None",SQRT(SUM((OFFSET(Factors,VALUE(RIGHT(L$34,2)),1,1,68)-$R39:$CG39)^2)))</f>
        <v>2.8284271247461903</v>
      </c>
      <c r="M39" s="8">
        <f t="array" aca="1" ref="M39" ca="1">IF(SUM(OFFSET(Factors,VALUE(RIGHT(M$34,2)),1,1,68))=0,"None",SQRT(SUM((OFFSET(Factors,VALUE(RIGHT(M$34,2)),1,1,68)-$R39:$CG39)^2)))</f>
        <v>2.5248762345905194</v>
      </c>
      <c r="N39" s="8">
        <f t="array" aca="1" ref="N39" ca="1">IF(SUM(OFFSET(Factors,VALUE(RIGHT(N$34,2)),1,1,68))=0,"None",SQRT(SUM((OFFSET(Factors,VALUE(RIGHT(N$34,2)),1,1,68)-$R39:$CG39)^2)))</f>
        <v>2.1213203435596424</v>
      </c>
      <c r="O39" s="8">
        <f t="array" aca="1" ref="O39" ca="1">IF(SUM(OFFSET(Factors,VALUE(RIGHT(O$34,2)),1,1,68))=0,"None",SQRT(SUM((OFFSET(Factors,VALUE(RIGHT(O$34,2)),1,1,68)-$R39:$CG39)^2)))</f>
        <v>2.5768197453450252</v>
      </c>
      <c r="Q39" s="18" t="s">
        <v>116</v>
      </c>
      <c r="R39" s="7">
        <v>0</v>
      </c>
      <c r="S39" s="7">
        <v>0</v>
      </c>
      <c r="T39" s="7">
        <v>0</v>
      </c>
      <c r="U39" s="7">
        <v>0</v>
      </c>
      <c r="V39" s="7">
        <v>0</v>
      </c>
      <c r="W39" s="7">
        <v>0</v>
      </c>
      <c r="X39" s="7">
        <v>0</v>
      </c>
      <c r="Y39" s="7">
        <v>0</v>
      </c>
      <c r="Z39" s="7">
        <v>0</v>
      </c>
      <c r="AA39" s="7">
        <v>1</v>
      </c>
      <c r="AB39" s="7">
        <v>0</v>
      </c>
      <c r="AC39" s="7">
        <v>0</v>
      </c>
      <c r="AD39" s="7">
        <v>0</v>
      </c>
      <c r="AE39" s="7">
        <v>0</v>
      </c>
      <c r="AF39" s="7">
        <v>0</v>
      </c>
      <c r="AG39" s="7">
        <v>0</v>
      </c>
      <c r="AH39" s="7">
        <v>0</v>
      </c>
      <c r="AI39" s="7">
        <v>0</v>
      </c>
      <c r="AJ39" s="7">
        <v>0</v>
      </c>
      <c r="AK39" s="7">
        <v>0</v>
      </c>
      <c r="AL39" s="7">
        <v>0</v>
      </c>
      <c r="AM39" s="7">
        <v>0</v>
      </c>
      <c r="AN39" s="7">
        <v>0</v>
      </c>
      <c r="AO39" s="7">
        <v>0</v>
      </c>
      <c r="AP39" s="7">
        <v>0</v>
      </c>
      <c r="AQ39" s="7">
        <v>0</v>
      </c>
      <c r="AR39" s="7">
        <v>1</v>
      </c>
      <c r="AS39" s="7">
        <v>0</v>
      </c>
      <c r="AT39" s="7">
        <v>0</v>
      </c>
      <c r="AU39" s="7">
        <v>0</v>
      </c>
      <c r="AV39" s="7">
        <v>0</v>
      </c>
      <c r="AW39" s="7">
        <v>0</v>
      </c>
      <c r="AX39" s="7">
        <v>0</v>
      </c>
      <c r="AY39" s="7">
        <v>0</v>
      </c>
      <c r="AZ39" s="7">
        <v>0</v>
      </c>
      <c r="BA39" s="7">
        <v>0</v>
      </c>
      <c r="BB39" s="7">
        <v>0</v>
      </c>
      <c r="BC39" s="7">
        <v>0</v>
      </c>
      <c r="BD39" s="7">
        <v>0</v>
      </c>
      <c r="BE39" s="7">
        <v>0</v>
      </c>
      <c r="BF39" s="7">
        <v>0</v>
      </c>
      <c r="BG39" s="7">
        <v>0</v>
      </c>
      <c r="BH39" s="7">
        <v>1</v>
      </c>
      <c r="BI39" s="7">
        <v>0</v>
      </c>
      <c r="BJ39" s="7">
        <v>0</v>
      </c>
      <c r="BK39" s="7">
        <v>0</v>
      </c>
      <c r="BL39" s="7">
        <v>0</v>
      </c>
      <c r="BM39" s="7">
        <v>1</v>
      </c>
      <c r="BN39" s="7">
        <v>0</v>
      </c>
      <c r="BO39" s="7">
        <v>0</v>
      </c>
      <c r="BP39" s="7">
        <v>0</v>
      </c>
      <c r="BQ39" s="7">
        <v>0</v>
      </c>
      <c r="BR39" s="7">
        <v>0</v>
      </c>
      <c r="BS39" s="7">
        <v>0</v>
      </c>
      <c r="BT39" s="7">
        <v>0</v>
      </c>
      <c r="BU39" s="7">
        <v>0</v>
      </c>
      <c r="BV39" s="7">
        <v>0</v>
      </c>
      <c r="BW39" s="7"/>
      <c r="BX39" s="7"/>
      <c r="BY39" s="7"/>
      <c r="BZ39" s="7"/>
      <c r="CA39" s="7"/>
      <c r="CB39" s="7"/>
      <c r="CC39" s="7"/>
      <c r="CD39" s="7"/>
      <c r="CE39" s="7"/>
      <c r="CF39" s="7"/>
      <c r="CG39" s="7"/>
      <c r="CH39" s="9">
        <f ca="1">E39</f>
        <v>4</v>
      </c>
    </row>
    <row r="40" spans="2:86" x14ac:dyDescent="0.25">
      <c r="B40" s="1"/>
      <c r="D40" s="9">
        <v>4</v>
      </c>
      <c r="E40" s="9">
        <f t="shared" ca="1" si="21"/>
        <v>4</v>
      </c>
      <c r="F40" s="8">
        <f t="array" aca="1" ref="F40" ca="1">IF(SUM(OFFSET(Factors,VALUE(RIGHT(F$34,2)),1,1,68))=0,"None",SQRT(SUM((OFFSET(Factors,VALUE(RIGHT(F$34,2)),1,1,68)-$R40:$CG40)^2)))</f>
        <v>2.3094010767585034</v>
      </c>
      <c r="G40" s="8">
        <f t="array" aca="1" ref="G40" ca="1">IF(SUM(OFFSET(Factors,VALUE(RIGHT(G$34,2)),1,1,68))=0,"None",SQRT(SUM((OFFSET(Factors,VALUE(RIGHT(G$34,2)),1,1,68)-$R40:$CG40)^2)))</f>
        <v>2.2973414586817036</v>
      </c>
      <c r="H40" s="8">
        <f t="array" aca="1" ref="H40" ca="1">IF(SUM(OFFSET(Factors,VALUE(RIGHT(H$34,2)),1,1,68))=0,"None",SQRT(SUM((OFFSET(Factors,VALUE(RIGHT(H$34,2)),1,1,68)-$R40:$CG40)^2)))</f>
        <v>2.6683328128252666</v>
      </c>
      <c r="I40" s="8">
        <f t="array" aca="1" ref="I40" ca="1">IF(SUM(OFFSET(Factors,VALUE(RIGHT(I$34,2)),1,1,68))=0,"None",SQRT(SUM((OFFSET(Factors,VALUE(RIGHT(I$34,2)),1,1,68)-$R40:$CG40)^2)))</f>
        <v>1.2472191289246473</v>
      </c>
      <c r="J40" s="8">
        <f t="array" aca="1" ref="J40" ca="1">IF(SUM(OFFSET(Factors,VALUE(RIGHT(J$34,2)),1,1,68))=0,"None",SQRT(SUM((OFFSET(Factors,VALUE(RIGHT(J$34,2)),1,1,68)-$R40:$CG40)^2)))</f>
        <v>2.078460969082653</v>
      </c>
      <c r="K40" s="8">
        <f t="array" aca="1" ref="K40" ca="1">IF(SUM(OFFSET(Factors,VALUE(RIGHT(K$34,2)),1,1,68))=0,"None",SQRT(SUM((OFFSET(Factors,VALUE(RIGHT(K$34,2)),1,1,68)-$R40:$CG40)^2)))</f>
        <v>2.6034165586355513</v>
      </c>
      <c r="L40" s="8">
        <f t="array" aca="1" ref="L40" ca="1">IF(SUM(OFFSET(Factors,VALUE(RIGHT(L$34,2)),1,1,68))=0,"None",SQRT(SUM((OFFSET(Factors,VALUE(RIGHT(L$34,2)),1,1,68)-$R40:$CG40)^2)))</f>
        <v>2.8284271247461903</v>
      </c>
      <c r="M40" s="8">
        <f t="array" aca="1" ref="M40" ca="1">IF(SUM(OFFSET(Factors,VALUE(RIGHT(M$34,2)),1,1,68))=0,"None",SQRT(SUM((OFFSET(Factors,VALUE(RIGHT(M$34,2)),1,1,68)-$R40:$CG40)^2)))</f>
        <v>2.5248762345905194</v>
      </c>
      <c r="N40" s="8">
        <f t="array" aca="1" ref="N40" ca="1">IF(SUM(OFFSET(Factors,VALUE(RIGHT(N$34,2)),1,1,68))=0,"None",SQRT(SUM((OFFSET(Factors,VALUE(RIGHT(N$34,2)),1,1,68)-$R40:$CG40)^2)))</f>
        <v>2.3452078799117149</v>
      </c>
      <c r="O40" s="8">
        <f t="array" aca="1" ref="O40" ca="1">IF(SUM(OFFSET(Factors,VALUE(RIGHT(O$34,2)),1,1,68))=0,"None",SQRT(SUM((OFFSET(Factors,VALUE(RIGHT(O$34,2)),1,1,68)-$R40:$CG40)^2)))</f>
        <v>2.5768197453450252</v>
      </c>
      <c r="Q40" s="18" t="s">
        <v>117</v>
      </c>
      <c r="R40" s="7">
        <v>0</v>
      </c>
      <c r="S40" s="7">
        <v>0</v>
      </c>
      <c r="T40" s="7">
        <v>0</v>
      </c>
      <c r="U40" s="7">
        <v>0</v>
      </c>
      <c r="V40" s="7">
        <v>0</v>
      </c>
      <c r="W40" s="7">
        <v>0</v>
      </c>
      <c r="X40" s="7">
        <v>0</v>
      </c>
      <c r="Y40" s="7">
        <v>0</v>
      </c>
      <c r="Z40" s="7">
        <v>0</v>
      </c>
      <c r="AA40" s="7">
        <v>0</v>
      </c>
      <c r="AB40" s="7">
        <v>0</v>
      </c>
      <c r="AC40" s="7">
        <v>0</v>
      </c>
      <c r="AD40" s="7">
        <v>0</v>
      </c>
      <c r="AE40" s="7">
        <v>1</v>
      </c>
      <c r="AF40" s="7">
        <v>0</v>
      </c>
      <c r="AG40" s="7">
        <v>0</v>
      </c>
      <c r="AH40" s="7">
        <v>0</v>
      </c>
      <c r="AI40" s="7">
        <v>0</v>
      </c>
      <c r="AJ40" s="7">
        <v>0</v>
      </c>
      <c r="AK40" s="7">
        <v>0</v>
      </c>
      <c r="AL40" s="7">
        <v>0</v>
      </c>
      <c r="AM40" s="7">
        <v>0</v>
      </c>
      <c r="AN40" s="7">
        <v>0</v>
      </c>
      <c r="AO40" s="7">
        <v>0</v>
      </c>
      <c r="AP40" s="7">
        <v>0</v>
      </c>
      <c r="AQ40" s="7">
        <v>0</v>
      </c>
      <c r="AR40" s="7">
        <v>1</v>
      </c>
      <c r="AS40" s="7">
        <v>0</v>
      </c>
      <c r="AT40" s="7">
        <v>0</v>
      </c>
      <c r="AU40" s="7">
        <v>0</v>
      </c>
      <c r="AV40" s="7">
        <v>0</v>
      </c>
      <c r="AW40" s="7">
        <v>0</v>
      </c>
      <c r="AX40" s="7">
        <v>0</v>
      </c>
      <c r="AY40" s="7">
        <v>0</v>
      </c>
      <c r="AZ40" s="7">
        <v>0</v>
      </c>
      <c r="BA40" s="7">
        <v>0</v>
      </c>
      <c r="BB40" s="7">
        <v>0</v>
      </c>
      <c r="BC40" s="7">
        <v>0</v>
      </c>
      <c r="BD40" s="7">
        <v>0</v>
      </c>
      <c r="BE40" s="7">
        <v>0</v>
      </c>
      <c r="BF40" s="7">
        <v>0</v>
      </c>
      <c r="BG40" s="7">
        <v>0</v>
      </c>
      <c r="BH40" s="7">
        <v>1</v>
      </c>
      <c r="BI40" s="7">
        <v>0</v>
      </c>
      <c r="BJ40" s="7">
        <v>0</v>
      </c>
      <c r="BK40" s="7">
        <v>0</v>
      </c>
      <c r="BL40" s="7">
        <v>0</v>
      </c>
      <c r="BM40" s="7">
        <v>0</v>
      </c>
      <c r="BN40" s="7">
        <v>1</v>
      </c>
      <c r="BO40" s="7">
        <v>0</v>
      </c>
      <c r="BP40" s="7">
        <v>0</v>
      </c>
      <c r="BQ40" s="7">
        <v>0</v>
      </c>
      <c r="BR40" s="7">
        <v>0</v>
      </c>
      <c r="BS40" s="7">
        <v>0</v>
      </c>
      <c r="BT40" s="7">
        <v>0</v>
      </c>
      <c r="BU40" s="7">
        <v>0</v>
      </c>
      <c r="BV40" s="7">
        <v>0</v>
      </c>
      <c r="BW40" s="7"/>
      <c r="BX40" s="7"/>
      <c r="BY40" s="7"/>
      <c r="BZ40" s="7"/>
      <c r="CA40" s="7"/>
      <c r="CB40" s="7"/>
      <c r="CC40" s="7"/>
      <c r="CD40" s="7"/>
      <c r="CE40" s="7"/>
      <c r="CF40" s="7"/>
      <c r="CG40" s="7"/>
      <c r="CH40" s="9">
        <f ca="1">E40</f>
        <v>4</v>
      </c>
    </row>
    <row r="41" spans="2:86" x14ac:dyDescent="0.25">
      <c r="B41" s="1"/>
      <c r="D41" s="9">
        <v>5</v>
      </c>
      <c r="E41" s="9">
        <f t="shared" ca="1" si="21"/>
        <v>5</v>
      </c>
      <c r="F41" s="8">
        <f t="array" aca="1" ref="F41" ca="1">IF(SUM(OFFSET(Factors,VALUE(RIGHT(F$34,2)),1,1,68))=0,"None",SQRT(SUM((OFFSET(Factors,VALUE(RIGHT(F$34,2)),1,1,68)-$R41:$CG41)^2)))</f>
        <v>2.1602468994692869</v>
      </c>
      <c r="G41" s="8">
        <f t="array" aca="1" ref="G41" ca="1">IF(SUM(OFFSET(Factors,VALUE(RIGHT(G$34,2)),1,1,68))=0,"None",SQRT(SUM((OFFSET(Factors,VALUE(RIGHT(G$34,2)),1,1,68)-$R41:$CG41)^2)))</f>
        <v>2.3687784005919825</v>
      </c>
      <c r="H41" s="8">
        <f t="array" aca="1" ref="H41" ca="1">IF(SUM(OFFSET(Factors,VALUE(RIGHT(H$34,2)),1,1,68))=0,"None",SQRT(SUM((OFFSET(Factors,VALUE(RIGHT(H$34,2)),1,1,68)-$R41:$CG41)^2)))</f>
        <v>2.6683328128252666</v>
      </c>
      <c r="I41" s="8">
        <f t="array" aca="1" ref="I41" ca="1">IF(SUM(OFFSET(Factors,VALUE(RIGHT(I$34,2)),1,1,68))=0,"None",SQRT(SUM((OFFSET(Factors,VALUE(RIGHT(I$34,2)),1,1,68)-$R41:$CG41)^2)))</f>
        <v>1.8856180831641269</v>
      </c>
      <c r="J41" s="8">
        <f t="array" aca="1" ref="J41" ca="1">IF(SUM(OFFSET(Factors,VALUE(RIGHT(J$34,2)),1,1,68))=0,"None",SQRT(SUM((OFFSET(Factors,VALUE(RIGHT(J$34,2)),1,1,68)-$R41:$CG41)^2)))</f>
        <v>1.6492422502470645</v>
      </c>
      <c r="K41" s="8">
        <f t="array" aca="1" ref="K41" ca="1">IF(SUM(OFFSET(Factors,VALUE(RIGHT(K$34,2)),1,1,68))=0,"None",SQRT(SUM((OFFSET(Factors,VALUE(RIGHT(K$34,2)),1,1,68)-$R41:$CG41)^2)))</f>
        <v>2.6034165586355513</v>
      </c>
      <c r="L41" s="8">
        <f t="array" aca="1" ref="L41" ca="1">IF(SUM(OFFSET(Factors,VALUE(RIGHT(L$34,2)),1,1,68))=0,"None",SQRT(SUM((OFFSET(Factors,VALUE(RIGHT(L$34,2)),1,1,68)-$R41:$CG41)^2)))</f>
        <v>2.8284271247461903</v>
      </c>
      <c r="M41" s="8">
        <f t="array" aca="1" ref="M41" ca="1">IF(SUM(OFFSET(Factors,VALUE(RIGHT(M$34,2)),1,1,68))=0,"None",SQRT(SUM((OFFSET(Factors,VALUE(RIGHT(M$34,2)),1,1,68)-$R41:$CG41)^2)))</f>
        <v>2.5248762345905194</v>
      </c>
      <c r="N41" s="8">
        <f t="array" aca="1" ref="N41" ca="1">IF(SUM(OFFSET(Factors,VALUE(RIGHT(N$34,2)),1,1,68))=0,"None",SQRT(SUM((OFFSET(Factors,VALUE(RIGHT(N$34,2)),1,1,68)-$R41:$CG41)^2)))</f>
        <v>2.7386127875258306</v>
      </c>
      <c r="O41" s="8">
        <f t="array" aca="1" ref="O41" ca="1">IF(SUM(OFFSET(Factors,VALUE(RIGHT(O$34,2)),1,1,68))=0,"None",SQRT(SUM((OFFSET(Factors,VALUE(RIGHT(O$34,2)),1,1,68)-$R41:$CG41)^2)))</f>
        <v>2.5768197453450252</v>
      </c>
      <c r="Q41" s="18" t="s">
        <v>118</v>
      </c>
      <c r="R41" s="7">
        <v>0</v>
      </c>
      <c r="S41" s="7">
        <v>0</v>
      </c>
      <c r="T41" s="7">
        <v>0</v>
      </c>
      <c r="U41" s="7">
        <v>0</v>
      </c>
      <c r="V41" s="7">
        <v>0</v>
      </c>
      <c r="W41" s="7">
        <v>0</v>
      </c>
      <c r="X41" s="7">
        <v>0</v>
      </c>
      <c r="Y41" s="7">
        <v>0</v>
      </c>
      <c r="Z41" s="7">
        <v>0</v>
      </c>
      <c r="AA41" s="7">
        <v>0</v>
      </c>
      <c r="AB41" s="7">
        <v>0</v>
      </c>
      <c r="AC41" s="7">
        <v>1</v>
      </c>
      <c r="AD41" s="7">
        <v>0</v>
      </c>
      <c r="AE41" s="7">
        <v>0</v>
      </c>
      <c r="AF41" s="7">
        <v>0</v>
      </c>
      <c r="AG41" s="7">
        <v>0</v>
      </c>
      <c r="AH41" s="7">
        <v>0</v>
      </c>
      <c r="AI41" s="7">
        <v>0</v>
      </c>
      <c r="AJ41" s="7">
        <v>0</v>
      </c>
      <c r="AK41" s="7">
        <v>0</v>
      </c>
      <c r="AL41" s="7">
        <v>0</v>
      </c>
      <c r="AM41" s="7">
        <v>0</v>
      </c>
      <c r="AN41" s="7">
        <v>0</v>
      </c>
      <c r="AO41" s="7">
        <v>0</v>
      </c>
      <c r="AP41" s="7">
        <v>0</v>
      </c>
      <c r="AQ41" s="7">
        <v>0</v>
      </c>
      <c r="AR41" s="7">
        <v>1</v>
      </c>
      <c r="AS41" s="7">
        <v>0</v>
      </c>
      <c r="AT41" s="7">
        <v>0</v>
      </c>
      <c r="AU41" s="7">
        <v>0</v>
      </c>
      <c r="AV41" s="7">
        <v>0</v>
      </c>
      <c r="AW41" s="7">
        <v>0</v>
      </c>
      <c r="AX41" s="7">
        <v>0</v>
      </c>
      <c r="AY41" s="7">
        <v>0</v>
      </c>
      <c r="AZ41" s="7">
        <v>0</v>
      </c>
      <c r="BA41" s="7">
        <v>0</v>
      </c>
      <c r="BB41" s="7">
        <v>0</v>
      </c>
      <c r="BC41" s="7">
        <v>0</v>
      </c>
      <c r="BD41" s="7">
        <v>0</v>
      </c>
      <c r="BE41" s="7">
        <v>0</v>
      </c>
      <c r="BF41" s="7">
        <v>0</v>
      </c>
      <c r="BG41" s="7">
        <v>1</v>
      </c>
      <c r="BH41" s="7">
        <v>0</v>
      </c>
      <c r="BI41" s="7">
        <v>0</v>
      </c>
      <c r="BJ41" s="7">
        <v>0</v>
      </c>
      <c r="BK41" s="7">
        <v>0</v>
      </c>
      <c r="BL41" s="7">
        <v>0</v>
      </c>
      <c r="BM41" s="7">
        <v>0</v>
      </c>
      <c r="BN41" s="7">
        <v>1</v>
      </c>
      <c r="BO41" s="7">
        <v>0</v>
      </c>
      <c r="BP41" s="7">
        <v>0</v>
      </c>
      <c r="BQ41" s="7">
        <v>0</v>
      </c>
      <c r="BR41" s="7">
        <v>0</v>
      </c>
      <c r="BS41" s="7">
        <v>0</v>
      </c>
      <c r="BT41" s="7">
        <v>0</v>
      </c>
      <c r="BU41" s="7">
        <v>0</v>
      </c>
      <c r="BV41" s="7">
        <v>0</v>
      </c>
      <c r="BW41" s="7"/>
      <c r="BX41" s="7"/>
      <c r="BY41" s="7"/>
      <c r="BZ41" s="7"/>
      <c r="CA41" s="7"/>
      <c r="CB41" s="7"/>
      <c r="CC41" s="7"/>
      <c r="CD41" s="7"/>
      <c r="CE41" s="7"/>
      <c r="CF41" s="7"/>
      <c r="CG41" s="7"/>
      <c r="CH41" s="9">
        <f ca="1">E41</f>
        <v>5</v>
      </c>
    </row>
    <row r="42" spans="2:86" x14ac:dyDescent="0.25">
      <c r="B42" s="1"/>
      <c r="D42" s="9">
        <v>1</v>
      </c>
      <c r="E42" s="9">
        <f t="shared" ca="1" si="21"/>
        <v>1</v>
      </c>
      <c r="F42" s="8">
        <f t="array" aca="1" ref="F42" ca="1">IF(SUM(OFFSET(Factors,VALUE(RIGHT(F$34,2)),1,1,68))=0,"None",SQRT(SUM((OFFSET(Factors,VALUE(RIGHT(F$34,2)),1,1,68)-$R42:$CG42)^2)))</f>
        <v>1.6329931618554521</v>
      </c>
      <c r="G42" s="8">
        <f t="array" aca="1" ref="G42" ca="1">IF(SUM(OFFSET(Factors,VALUE(RIGHT(G$34,2)),1,1,68))=0,"None",SQRT(SUM((OFFSET(Factors,VALUE(RIGHT(G$34,2)),1,1,68)-$R42:$CG42)^2)))</f>
        <v>2.4381231397212986</v>
      </c>
      <c r="H42" s="8">
        <f t="array" aca="1" ref="H42" ca="1">IF(SUM(OFFSET(Factors,VALUE(RIGHT(H$34,2)),1,1,68))=0,"None",SQRT(SUM((OFFSET(Factors,VALUE(RIGHT(H$34,2)),1,1,68)-$R42:$CG42)^2)))</f>
        <v>2.6683328128252666</v>
      </c>
      <c r="I42" s="8">
        <f t="array" aca="1" ref="I42" ca="1">IF(SUM(OFFSET(Factors,VALUE(RIGHT(I$34,2)),1,1,68))=0,"None",SQRT(SUM((OFFSET(Factors,VALUE(RIGHT(I$34,2)),1,1,68)-$R42:$CG42)^2)))</f>
        <v>2.0548046676563256</v>
      </c>
      <c r="J42" s="8">
        <f t="array" aca="1" ref="J42" ca="1">IF(SUM(OFFSET(Factors,VALUE(RIGHT(J$34,2)),1,1,68))=0,"None",SQRT(SUM((OFFSET(Factors,VALUE(RIGHT(J$34,2)),1,1,68)-$R42:$CG42)^2)))</f>
        <v>1.8761663039293719</v>
      </c>
      <c r="K42" s="8">
        <f t="array" aca="1" ref="K42" ca="1">IF(SUM(OFFSET(Factors,VALUE(RIGHT(K$34,2)),1,1,68))=0,"None",SQRT(SUM((OFFSET(Factors,VALUE(RIGHT(K$34,2)),1,1,68)-$R42:$CG42)^2)))</f>
        <v>2.6034165586355513</v>
      </c>
      <c r="L42" s="8">
        <f t="array" aca="1" ref="L42" ca="1">IF(SUM(OFFSET(Factors,VALUE(RIGHT(L$34,2)),1,1,68))=0,"None",SQRT(SUM((OFFSET(Factors,VALUE(RIGHT(L$34,2)),1,1,68)-$R42:$CG42)^2)))</f>
        <v>2.8284271247461903</v>
      </c>
      <c r="M42" s="8">
        <f t="array" aca="1" ref="M42" ca="1">IF(SUM(OFFSET(Factors,VALUE(RIGHT(M$34,2)),1,1,68))=0,"None",SQRT(SUM((OFFSET(Factors,VALUE(RIGHT(M$34,2)),1,1,68)-$R42:$CG42)^2)))</f>
        <v>2.4238399287081647</v>
      </c>
      <c r="N42" s="8">
        <f t="array" aca="1" ref="N42" ca="1">IF(SUM(OFFSET(Factors,VALUE(RIGHT(N$34,2)),1,1,68))=0,"None",SQRT(SUM((OFFSET(Factors,VALUE(RIGHT(N$34,2)),1,1,68)-$R42:$CG42)^2)))</f>
        <v>2.5495097567963922</v>
      </c>
      <c r="O42" s="8">
        <f t="array" aca="1" ref="O42" ca="1">IF(SUM(OFFSET(Factors,VALUE(RIGHT(O$34,2)),1,1,68))=0,"None",SQRT(SUM((OFFSET(Factors,VALUE(RIGHT(O$34,2)),1,1,68)-$R42:$CG42)^2)))</f>
        <v>2.5768197453450252</v>
      </c>
      <c r="Q42" s="18" t="s">
        <v>119</v>
      </c>
      <c r="R42" s="7">
        <v>0</v>
      </c>
      <c r="S42" s="7">
        <v>0</v>
      </c>
      <c r="T42" s="7">
        <v>0</v>
      </c>
      <c r="U42" s="7">
        <v>0</v>
      </c>
      <c r="V42" s="7">
        <v>0</v>
      </c>
      <c r="W42" s="7">
        <v>0</v>
      </c>
      <c r="X42" s="7">
        <v>0</v>
      </c>
      <c r="Y42" s="7">
        <v>0</v>
      </c>
      <c r="Z42" s="7">
        <v>0</v>
      </c>
      <c r="AA42" s="7">
        <v>0</v>
      </c>
      <c r="AB42" s="7">
        <v>1</v>
      </c>
      <c r="AC42" s="7">
        <v>0</v>
      </c>
      <c r="AD42" s="7">
        <v>0</v>
      </c>
      <c r="AE42" s="7">
        <v>0</v>
      </c>
      <c r="AF42" s="7">
        <v>0</v>
      </c>
      <c r="AG42" s="7">
        <v>0</v>
      </c>
      <c r="AH42" s="7">
        <v>0</v>
      </c>
      <c r="AI42" s="7">
        <v>0</v>
      </c>
      <c r="AJ42" s="7">
        <v>0</v>
      </c>
      <c r="AK42" s="7">
        <v>0</v>
      </c>
      <c r="AL42" s="7">
        <v>0</v>
      </c>
      <c r="AM42" s="7">
        <v>0</v>
      </c>
      <c r="AN42" s="7">
        <v>0</v>
      </c>
      <c r="AO42" s="7">
        <v>0</v>
      </c>
      <c r="AP42" s="7">
        <v>0</v>
      </c>
      <c r="AQ42" s="7">
        <v>0</v>
      </c>
      <c r="AR42" s="7">
        <v>1</v>
      </c>
      <c r="AS42" s="7">
        <v>0</v>
      </c>
      <c r="AT42" s="7">
        <v>0</v>
      </c>
      <c r="AU42" s="7">
        <v>0</v>
      </c>
      <c r="AV42" s="7">
        <v>0</v>
      </c>
      <c r="AW42" s="7">
        <v>0</v>
      </c>
      <c r="AX42" s="7">
        <v>0</v>
      </c>
      <c r="AY42" s="7">
        <v>0</v>
      </c>
      <c r="AZ42" s="7">
        <v>0</v>
      </c>
      <c r="BA42" s="7">
        <v>0</v>
      </c>
      <c r="BB42" s="7">
        <v>0</v>
      </c>
      <c r="BC42" s="7">
        <v>0</v>
      </c>
      <c r="BD42" s="7">
        <v>0</v>
      </c>
      <c r="BE42" s="7">
        <v>0</v>
      </c>
      <c r="BF42" s="7">
        <v>0</v>
      </c>
      <c r="BG42" s="7">
        <v>1</v>
      </c>
      <c r="BH42" s="7">
        <v>0</v>
      </c>
      <c r="BI42" s="7">
        <v>0</v>
      </c>
      <c r="BJ42" s="7">
        <v>0</v>
      </c>
      <c r="BK42" s="7">
        <v>0</v>
      </c>
      <c r="BL42" s="7">
        <v>0</v>
      </c>
      <c r="BM42" s="7">
        <v>0</v>
      </c>
      <c r="BN42" s="7">
        <v>0</v>
      </c>
      <c r="BO42" s="7">
        <v>1</v>
      </c>
      <c r="BP42" s="7">
        <v>0</v>
      </c>
      <c r="BQ42" s="7">
        <v>0</v>
      </c>
      <c r="BR42" s="7">
        <v>0</v>
      </c>
      <c r="BS42" s="7">
        <v>0</v>
      </c>
      <c r="BT42" s="7">
        <v>0</v>
      </c>
      <c r="BU42" s="7">
        <v>0</v>
      </c>
      <c r="BV42" s="7">
        <v>0</v>
      </c>
      <c r="BW42" s="7"/>
      <c r="BX42" s="7"/>
      <c r="BY42" s="7"/>
      <c r="BZ42" s="7"/>
      <c r="CA42" s="7"/>
      <c r="CB42" s="7"/>
      <c r="CC42" s="7"/>
      <c r="CD42" s="7"/>
      <c r="CE42" s="7"/>
      <c r="CF42" s="7"/>
      <c r="CG42" s="7"/>
      <c r="CH42" s="9">
        <f ca="1">E42</f>
        <v>1</v>
      </c>
    </row>
    <row r="43" spans="2:86" x14ac:dyDescent="0.25">
      <c r="D43" s="9">
        <v>10</v>
      </c>
      <c r="E43" s="9">
        <f t="shared" ca="1" si="21"/>
        <v>10</v>
      </c>
      <c r="F43" s="8">
        <f t="array" aca="1" ref="F43" ca="1">IF(SUM(OFFSET(Factors,VALUE(RIGHT(F$34,2)),1,1,68))=0,"None",SQRT(SUM((OFFSET(Factors,VALUE(RIGHT(F$34,2)),1,1,68)-$R43:$CG43)^2)))</f>
        <v>2.4494897427831779</v>
      </c>
      <c r="G43" s="8">
        <f t="array" aca="1" ref="G43" ca="1">IF(SUM(OFFSET(Factors,VALUE(RIGHT(G$34,2)),1,1,68))=0,"None",SQRT(SUM((OFFSET(Factors,VALUE(RIGHT(G$34,2)),1,1,68)-$R43:$CG43)^2)))</f>
        <v>2.2973414586817036</v>
      </c>
      <c r="H43" s="8">
        <f t="array" aca="1" ref="H43" ca="1">IF(SUM(OFFSET(Factors,VALUE(RIGHT(H$34,2)),1,1,68))=0,"None",SQRT(SUM((OFFSET(Factors,VALUE(RIGHT(H$34,2)),1,1,68)-$R43:$CG43)^2)))</f>
        <v>1.8761663039293719</v>
      </c>
      <c r="I43" s="8">
        <f t="array" aca="1" ref="I43" ca="1">IF(SUM(OFFSET(Factors,VALUE(RIGHT(I$34,2)),1,1,68))=0,"None",SQRT(SUM((OFFSET(Factors,VALUE(RIGHT(I$34,2)),1,1,68)-$R43:$CG43)^2)))</f>
        <v>2.4944382578492941</v>
      </c>
      <c r="J43" s="8">
        <f t="array" aca="1" ref="J43" ca="1">IF(SUM(OFFSET(Factors,VALUE(RIGHT(J$34,2)),1,1,68))=0,"None",SQRT(SUM((OFFSET(Factors,VALUE(RIGHT(J$34,2)),1,1,68)-$R43:$CG43)^2)))</f>
        <v>2.2627416997969521</v>
      </c>
      <c r="K43" s="8">
        <f t="array" aca="1" ref="K43" ca="1">IF(SUM(OFFSET(Factors,VALUE(RIGHT(K$34,2)),1,1,68))=0,"None",SQRT(SUM((OFFSET(Factors,VALUE(RIGHT(K$34,2)),1,1,68)-$R43:$CG43)^2)))</f>
        <v>2.5385910352879693</v>
      </c>
      <c r="L43" s="8">
        <f t="array" aca="1" ref="L43" ca="1">IF(SUM(OFFSET(Factors,VALUE(RIGHT(L$34,2)),1,1,68))=0,"None",SQRT(SUM((OFFSET(Factors,VALUE(RIGHT(L$34,2)),1,1,68)-$R43:$CG43)^2)))</f>
        <v>2.4494897427831779</v>
      </c>
      <c r="M43" s="8">
        <f t="array" aca="1" ref="M43" ca="1">IF(SUM(OFFSET(Factors,VALUE(RIGHT(M$34,2)),1,1,68))=0,"None",SQRT(SUM((OFFSET(Factors,VALUE(RIGHT(M$34,2)),1,1,68)-$R43:$CG43)^2)))</f>
        <v>2.318404623873926</v>
      </c>
      <c r="N43" s="8">
        <f t="array" aca="1" ref="N43" ca="1">IF(SUM(OFFSET(Factors,VALUE(RIGHT(N$34,2)),1,1,68))=0,"None",SQRT(SUM((OFFSET(Factors,VALUE(RIGHT(N$34,2)),1,1,68)-$R43:$CG43)^2)))</f>
        <v>2.7386127875258306</v>
      </c>
      <c r="O43" s="8">
        <f t="array" aca="1" ref="O43" ca="1">IF(SUM(OFFSET(Factors,VALUE(RIGHT(O$34,2)),1,1,68))=0,"None",SQRT(SUM((OFFSET(Factors,VALUE(RIGHT(O$34,2)),1,1,68)-$R43:$CG43)^2)))</f>
        <v>1.019803902718557</v>
      </c>
      <c r="Q43" s="18" t="s">
        <v>120</v>
      </c>
      <c r="R43" s="7">
        <v>0</v>
      </c>
      <c r="S43" s="7">
        <v>0</v>
      </c>
      <c r="T43" s="7">
        <v>0</v>
      </c>
      <c r="U43" s="7">
        <v>0</v>
      </c>
      <c r="V43" s="7">
        <v>0</v>
      </c>
      <c r="W43" s="7">
        <v>1</v>
      </c>
      <c r="X43" s="7">
        <v>0</v>
      </c>
      <c r="Y43" s="7">
        <v>0</v>
      </c>
      <c r="Z43" s="7">
        <v>0</v>
      </c>
      <c r="AA43" s="7">
        <v>0</v>
      </c>
      <c r="AB43" s="7">
        <v>0</v>
      </c>
      <c r="AC43" s="7">
        <v>0</v>
      </c>
      <c r="AD43" s="7">
        <v>0</v>
      </c>
      <c r="AE43" s="7">
        <v>0</v>
      </c>
      <c r="AF43" s="7">
        <v>0</v>
      </c>
      <c r="AG43" s="7">
        <v>0</v>
      </c>
      <c r="AH43" s="7">
        <v>0</v>
      </c>
      <c r="AI43" s="7">
        <v>0</v>
      </c>
      <c r="AJ43" s="7">
        <v>0</v>
      </c>
      <c r="AK43" s="7">
        <v>0</v>
      </c>
      <c r="AL43" s="7">
        <v>0</v>
      </c>
      <c r="AM43" s="7">
        <v>0</v>
      </c>
      <c r="AN43" s="7">
        <v>0</v>
      </c>
      <c r="AO43" s="7">
        <v>0</v>
      </c>
      <c r="AP43" s="7">
        <v>0</v>
      </c>
      <c r="AQ43" s="7">
        <v>0</v>
      </c>
      <c r="AR43" s="7">
        <v>0</v>
      </c>
      <c r="AS43" s="7">
        <v>0</v>
      </c>
      <c r="AT43" s="7">
        <v>0</v>
      </c>
      <c r="AU43" s="7">
        <v>1</v>
      </c>
      <c r="AV43" s="7">
        <v>0</v>
      </c>
      <c r="AW43" s="7">
        <v>0</v>
      </c>
      <c r="AX43" s="7">
        <v>0</v>
      </c>
      <c r="AY43" s="7">
        <v>0</v>
      </c>
      <c r="AZ43" s="7">
        <v>0</v>
      </c>
      <c r="BA43" s="7">
        <v>0</v>
      </c>
      <c r="BB43" s="7">
        <v>1</v>
      </c>
      <c r="BC43" s="7">
        <v>0</v>
      </c>
      <c r="BD43" s="7">
        <v>0</v>
      </c>
      <c r="BE43" s="7">
        <v>0</v>
      </c>
      <c r="BF43" s="7">
        <v>0</v>
      </c>
      <c r="BG43" s="7">
        <v>0</v>
      </c>
      <c r="BH43" s="7">
        <v>0</v>
      </c>
      <c r="BI43" s="7">
        <v>0</v>
      </c>
      <c r="BJ43" s="7">
        <v>0</v>
      </c>
      <c r="BK43" s="7">
        <v>0</v>
      </c>
      <c r="BL43" s="7">
        <v>0</v>
      </c>
      <c r="BM43" s="7">
        <v>0</v>
      </c>
      <c r="BN43" s="7">
        <v>0</v>
      </c>
      <c r="BO43" s="7">
        <v>0</v>
      </c>
      <c r="BP43" s="7">
        <v>0</v>
      </c>
      <c r="BQ43" s="7">
        <v>1</v>
      </c>
      <c r="BR43" s="7">
        <v>0</v>
      </c>
      <c r="BS43" s="7">
        <v>0</v>
      </c>
      <c r="BT43" s="7">
        <v>0</v>
      </c>
      <c r="BU43" s="7">
        <v>0</v>
      </c>
      <c r="BV43" s="7">
        <v>0</v>
      </c>
      <c r="BW43" s="7"/>
      <c r="BX43" s="7"/>
      <c r="BY43" s="7"/>
      <c r="BZ43" s="7"/>
      <c r="CA43" s="7"/>
      <c r="CB43" s="7"/>
      <c r="CC43" s="7"/>
      <c r="CD43" s="7"/>
      <c r="CE43" s="7"/>
      <c r="CF43" s="7"/>
      <c r="CG43" s="7"/>
      <c r="CH43" s="9">
        <f ca="1">E43</f>
        <v>10</v>
      </c>
    </row>
    <row r="44" spans="2:86" x14ac:dyDescent="0.25">
      <c r="D44" s="9">
        <v>10</v>
      </c>
      <c r="E44" s="9">
        <f t="shared" ca="1" si="21"/>
        <v>10</v>
      </c>
      <c r="F44" s="8">
        <f t="array" aca="1" ref="F44" ca="1">IF(SUM(OFFSET(Factors,VALUE(RIGHT(F$34,2)),1,1,68))=0,"None",SQRT(SUM((OFFSET(Factors,VALUE(RIGHT(F$34,2)),1,1,68)-$R44:$CG44)^2)))</f>
        <v>2.4494897427831779</v>
      </c>
      <c r="G44" s="8">
        <f t="array" aca="1" ref="G44" ca="1">IF(SUM(OFFSET(Factors,VALUE(RIGHT(G$34,2)),1,1,68))=0,"None",SQRT(SUM((OFFSET(Factors,VALUE(RIGHT(G$34,2)),1,1,68)-$R44:$CG44)^2)))</f>
        <v>2.4381231397212986</v>
      </c>
      <c r="H44" s="8">
        <f t="array" aca="1" ref="H44" ca="1">IF(SUM(OFFSET(Factors,VALUE(RIGHT(H$34,2)),1,1,68))=0,"None",SQRT(SUM((OFFSET(Factors,VALUE(RIGHT(H$34,2)),1,1,68)-$R44:$CG44)^2)))</f>
        <v>2.2627416997969521</v>
      </c>
      <c r="I44" s="8">
        <f t="array" aca="1" ref="I44" ca="1">IF(SUM(OFFSET(Factors,VALUE(RIGHT(I$34,2)),1,1,68))=0,"None",SQRT(SUM((OFFSET(Factors,VALUE(RIGHT(I$34,2)),1,1,68)-$R44:$CG44)^2)))</f>
        <v>2.4944382578492941</v>
      </c>
      <c r="J44" s="8">
        <f t="array" aca="1" ref="J44" ca="1">IF(SUM(OFFSET(Factors,VALUE(RIGHT(J$34,2)),1,1,68))=0,"None",SQRT(SUM((OFFSET(Factors,VALUE(RIGHT(J$34,2)),1,1,68)-$R44:$CG44)^2)))</f>
        <v>2.1725560982400434</v>
      </c>
      <c r="K44" s="8">
        <f t="array" aca="1" ref="K44" ca="1">IF(SUM(OFFSET(Factors,VALUE(RIGHT(K$34,2)),1,1,68))=0,"None",SQRT(SUM((OFFSET(Factors,VALUE(RIGHT(K$34,2)),1,1,68)-$R44:$CG44)^2)))</f>
        <v>2.6034165586355518</v>
      </c>
      <c r="L44" s="8">
        <f t="array" aca="1" ref="L44" ca="1">IF(SUM(OFFSET(Factors,VALUE(RIGHT(L$34,2)),1,1,68))=0,"None",SQRT(SUM((OFFSET(Factors,VALUE(RIGHT(L$34,2)),1,1,68)-$R44:$CG44)^2)))</f>
        <v>2.8284271247461903</v>
      </c>
      <c r="M44" s="8">
        <f t="array" aca="1" ref="M44" ca="1">IF(SUM(OFFSET(Factors,VALUE(RIGHT(M$34,2)),1,1,68))=0,"None",SQRT(SUM((OFFSET(Factors,VALUE(RIGHT(M$34,2)),1,1,68)-$R44:$CG44)^2)))</f>
        <v>2.4238399287081647</v>
      </c>
      <c r="N44" s="8">
        <f t="array" aca="1" ref="N44" ca="1">IF(SUM(OFFSET(Factors,VALUE(RIGHT(N$34,2)),1,1,68))=0,"None",SQRT(SUM((OFFSET(Factors,VALUE(RIGHT(N$34,2)),1,1,68)-$R44:$CG44)^2)))</f>
        <v>2.7386127875258306</v>
      </c>
      <c r="O44" s="8">
        <f t="array" aca="1" ref="O44" ca="1">IF(SUM(OFFSET(Factors,VALUE(RIGHT(O$34,2)),1,1,68))=0,"None",SQRT(SUM((OFFSET(Factors,VALUE(RIGHT(O$34,2)),1,1,68)-$R44:$CG44)^2)))</f>
        <v>1.2000000000000002</v>
      </c>
      <c r="Q44" s="18" t="s">
        <v>121</v>
      </c>
      <c r="R44" s="7">
        <v>0</v>
      </c>
      <c r="S44" s="7">
        <v>0</v>
      </c>
      <c r="T44" s="7">
        <v>1</v>
      </c>
      <c r="U44" s="7">
        <v>0</v>
      </c>
      <c r="V44" s="7">
        <v>0</v>
      </c>
      <c r="W44" s="7">
        <v>0</v>
      </c>
      <c r="X44" s="7">
        <v>0</v>
      </c>
      <c r="Y44" s="7">
        <v>0</v>
      </c>
      <c r="Z44" s="7">
        <v>0</v>
      </c>
      <c r="AA44" s="7">
        <v>0</v>
      </c>
      <c r="AB44" s="7">
        <v>0</v>
      </c>
      <c r="AC44" s="7">
        <v>0</v>
      </c>
      <c r="AD44" s="7">
        <v>0</v>
      </c>
      <c r="AE44" s="7">
        <v>0</v>
      </c>
      <c r="AF44" s="7">
        <v>0</v>
      </c>
      <c r="AG44" s="7">
        <v>0</v>
      </c>
      <c r="AH44" s="7">
        <v>0</v>
      </c>
      <c r="AI44" s="7">
        <v>0</v>
      </c>
      <c r="AJ44" s="7">
        <v>0</v>
      </c>
      <c r="AK44" s="7">
        <v>0</v>
      </c>
      <c r="AL44" s="7">
        <v>0</v>
      </c>
      <c r="AM44" s="7">
        <v>0</v>
      </c>
      <c r="AN44" s="7">
        <v>0</v>
      </c>
      <c r="AO44" s="7">
        <v>0</v>
      </c>
      <c r="AP44" s="7">
        <v>0</v>
      </c>
      <c r="AQ44" s="7">
        <v>0</v>
      </c>
      <c r="AR44" s="7">
        <v>0</v>
      </c>
      <c r="AS44" s="7">
        <v>0</v>
      </c>
      <c r="AT44" s="7">
        <v>0</v>
      </c>
      <c r="AU44" s="7">
        <v>1</v>
      </c>
      <c r="AV44" s="7">
        <v>0</v>
      </c>
      <c r="AW44" s="7">
        <v>0</v>
      </c>
      <c r="AX44" s="7">
        <v>0</v>
      </c>
      <c r="AY44" s="7">
        <v>0</v>
      </c>
      <c r="AZ44" s="7">
        <v>0</v>
      </c>
      <c r="BA44" s="7">
        <v>0</v>
      </c>
      <c r="BB44" s="7">
        <v>0</v>
      </c>
      <c r="BC44" s="7">
        <v>1</v>
      </c>
      <c r="BD44" s="7">
        <v>0</v>
      </c>
      <c r="BE44" s="7">
        <v>0</v>
      </c>
      <c r="BF44" s="7">
        <v>0</v>
      </c>
      <c r="BG44" s="7">
        <v>0</v>
      </c>
      <c r="BH44" s="7">
        <v>0</v>
      </c>
      <c r="BI44" s="7">
        <v>0</v>
      </c>
      <c r="BJ44" s="7">
        <v>0</v>
      </c>
      <c r="BK44" s="7">
        <v>0</v>
      </c>
      <c r="BL44" s="7">
        <v>0</v>
      </c>
      <c r="BM44" s="7">
        <v>0</v>
      </c>
      <c r="BN44" s="7">
        <v>0</v>
      </c>
      <c r="BO44" s="7">
        <v>0</v>
      </c>
      <c r="BP44" s="7">
        <v>0</v>
      </c>
      <c r="BQ44" s="7">
        <v>1</v>
      </c>
      <c r="BR44" s="7">
        <v>0</v>
      </c>
      <c r="BS44" s="7">
        <v>0</v>
      </c>
      <c r="BT44" s="7">
        <v>0</v>
      </c>
      <c r="BU44" s="7">
        <v>0</v>
      </c>
      <c r="BV44" s="7">
        <v>0</v>
      </c>
      <c r="BW44" s="7"/>
      <c r="BX44" s="7"/>
      <c r="BY44" s="7"/>
      <c r="BZ44" s="7"/>
      <c r="CA44" s="7"/>
      <c r="CB44" s="7"/>
      <c r="CC44" s="7"/>
      <c r="CD44" s="7"/>
      <c r="CE44" s="7"/>
      <c r="CF44" s="7"/>
      <c r="CG44" s="7"/>
      <c r="CH44" s="9">
        <f ca="1">E44</f>
        <v>10</v>
      </c>
    </row>
    <row r="45" spans="2:86" x14ac:dyDescent="0.25">
      <c r="D45" s="9">
        <v>10</v>
      </c>
      <c r="E45" s="9">
        <f t="shared" ca="1" si="21"/>
        <v>10</v>
      </c>
      <c r="F45" s="8">
        <f t="array" aca="1" ref="F45" ca="1">IF(SUM(OFFSET(Factors,VALUE(RIGHT(F$34,2)),1,1,68))=0,"None",SQRT(SUM((OFFSET(Factors,VALUE(RIGHT(F$34,2)),1,1,68)-$R45:$CG45)^2)))</f>
        <v>2.4494897427831779</v>
      </c>
      <c r="G45" s="8">
        <f t="array" aca="1" ref="G45" ca="1">IF(SUM(OFFSET(Factors,VALUE(RIGHT(G$34,2)),1,1,68))=0,"None",SQRT(SUM((OFFSET(Factors,VALUE(RIGHT(G$34,2)),1,1,68)-$R45:$CG45)^2)))</f>
        <v>2.4381231397212986</v>
      </c>
      <c r="H45" s="8">
        <f t="array" aca="1" ref="H45" ca="1">IF(SUM(OFFSET(Factors,VALUE(RIGHT(H$34,2)),1,1,68))=0,"None",SQRT(SUM((OFFSET(Factors,VALUE(RIGHT(H$34,2)),1,1,68)-$R45:$CG45)^2)))</f>
        <v>2.2627416997969521</v>
      </c>
      <c r="I45" s="8">
        <f t="array" aca="1" ref="I45" ca="1">IF(SUM(OFFSET(Factors,VALUE(RIGHT(I$34,2)),1,1,68))=0,"None",SQRT(SUM((OFFSET(Factors,VALUE(RIGHT(I$34,2)),1,1,68)-$R45:$CG45)^2)))</f>
        <v>2.3570226039551581</v>
      </c>
      <c r="J45" s="8">
        <f t="array" aca="1" ref="J45" ca="1">IF(SUM(OFFSET(Factors,VALUE(RIGHT(J$34,2)),1,1,68))=0,"None",SQRT(SUM((OFFSET(Factors,VALUE(RIGHT(J$34,2)),1,1,68)-$R45:$CG45)^2)))</f>
        <v>2.3494680248941462</v>
      </c>
      <c r="K45" s="8">
        <f t="array" aca="1" ref="K45" ca="1">IF(SUM(OFFSET(Factors,VALUE(RIGHT(K$34,2)),1,1,68))=0,"None",SQRT(SUM((OFFSET(Factors,VALUE(RIGHT(K$34,2)),1,1,68)-$R45:$CG45)^2)))</f>
        <v>2.6034165586355518</v>
      </c>
      <c r="L45" s="8">
        <f t="array" aca="1" ref="L45" ca="1">IF(SUM(OFFSET(Factors,VALUE(RIGHT(L$34,2)),1,1,68))=0,"None",SQRT(SUM((OFFSET(Factors,VALUE(RIGHT(L$34,2)),1,1,68)-$R45:$CG45)^2)))</f>
        <v>2.8284271247461903</v>
      </c>
      <c r="M45" s="8">
        <f t="array" aca="1" ref="M45" ca="1">IF(SUM(OFFSET(Factors,VALUE(RIGHT(M$34,2)),1,1,68))=0,"None",SQRT(SUM((OFFSET(Factors,VALUE(RIGHT(M$34,2)),1,1,68)-$R45:$CG45)^2)))</f>
        <v>2.4238399287081647</v>
      </c>
      <c r="N45" s="8">
        <f t="array" aca="1" ref="N45" ca="1">IF(SUM(OFFSET(Factors,VALUE(RIGHT(N$34,2)),1,1,68))=0,"None",SQRT(SUM((OFFSET(Factors,VALUE(RIGHT(N$34,2)),1,1,68)-$R45:$CG45)^2)))</f>
        <v>2.7386127875258306</v>
      </c>
      <c r="O45" s="8">
        <f t="array" aca="1" ref="O45" ca="1">IF(SUM(OFFSET(Factors,VALUE(RIGHT(O$34,2)),1,1,68))=0,"None",SQRT(SUM((OFFSET(Factors,VALUE(RIGHT(O$34,2)),1,1,68)-$R45:$CG45)^2)))</f>
        <v>1.2000000000000002</v>
      </c>
      <c r="Q45" s="18" t="s">
        <v>122</v>
      </c>
      <c r="R45" s="7">
        <v>0</v>
      </c>
      <c r="S45" s="7">
        <v>0</v>
      </c>
      <c r="T45" s="7">
        <v>0</v>
      </c>
      <c r="U45" s="7">
        <v>1</v>
      </c>
      <c r="V45" s="7">
        <v>0</v>
      </c>
      <c r="W45" s="7">
        <v>0</v>
      </c>
      <c r="X45" s="7">
        <v>0</v>
      </c>
      <c r="Y45" s="7">
        <v>0</v>
      </c>
      <c r="Z45" s="7">
        <v>0</v>
      </c>
      <c r="AA45" s="7">
        <v>0</v>
      </c>
      <c r="AB45" s="7">
        <v>0</v>
      </c>
      <c r="AC45" s="7">
        <v>0</v>
      </c>
      <c r="AD45" s="7">
        <v>0</v>
      </c>
      <c r="AE45" s="7">
        <v>0</v>
      </c>
      <c r="AF45" s="7">
        <v>0</v>
      </c>
      <c r="AG45" s="7">
        <v>0</v>
      </c>
      <c r="AH45" s="7">
        <v>0</v>
      </c>
      <c r="AI45" s="7">
        <v>0</v>
      </c>
      <c r="AJ45" s="7">
        <v>0</v>
      </c>
      <c r="AK45" s="7">
        <v>0</v>
      </c>
      <c r="AL45" s="7">
        <v>0</v>
      </c>
      <c r="AM45" s="7">
        <v>0</v>
      </c>
      <c r="AN45" s="7">
        <v>0</v>
      </c>
      <c r="AO45" s="7">
        <v>0</v>
      </c>
      <c r="AP45" s="7">
        <v>0</v>
      </c>
      <c r="AQ45" s="7">
        <v>0</v>
      </c>
      <c r="AR45" s="7">
        <v>0</v>
      </c>
      <c r="AS45" s="7">
        <v>0</v>
      </c>
      <c r="AT45" s="7">
        <v>0</v>
      </c>
      <c r="AU45" s="7">
        <v>1</v>
      </c>
      <c r="AV45" s="7">
        <v>0</v>
      </c>
      <c r="AW45" s="7">
        <v>0</v>
      </c>
      <c r="AX45" s="7">
        <v>0</v>
      </c>
      <c r="AY45" s="7">
        <v>0</v>
      </c>
      <c r="AZ45" s="7">
        <v>0</v>
      </c>
      <c r="BA45" s="7">
        <v>0</v>
      </c>
      <c r="BB45" s="7">
        <v>0</v>
      </c>
      <c r="BC45" s="7">
        <v>1</v>
      </c>
      <c r="BD45" s="7">
        <v>0</v>
      </c>
      <c r="BE45" s="7">
        <v>0</v>
      </c>
      <c r="BF45" s="7">
        <v>0</v>
      </c>
      <c r="BG45" s="7">
        <v>0</v>
      </c>
      <c r="BH45" s="7">
        <v>0</v>
      </c>
      <c r="BI45" s="7">
        <v>0</v>
      </c>
      <c r="BJ45" s="7">
        <v>0</v>
      </c>
      <c r="BK45" s="7">
        <v>0</v>
      </c>
      <c r="BL45" s="7">
        <v>0</v>
      </c>
      <c r="BM45" s="7">
        <v>0</v>
      </c>
      <c r="BN45" s="7">
        <v>0</v>
      </c>
      <c r="BO45" s="7">
        <v>0</v>
      </c>
      <c r="BP45" s="7">
        <v>0</v>
      </c>
      <c r="BQ45" s="7">
        <v>1</v>
      </c>
      <c r="BR45" s="7">
        <v>0</v>
      </c>
      <c r="BS45" s="7">
        <v>0</v>
      </c>
      <c r="BT45" s="7">
        <v>0</v>
      </c>
      <c r="BU45" s="7">
        <v>0</v>
      </c>
      <c r="BV45" s="7">
        <v>0</v>
      </c>
      <c r="BW45" s="7"/>
      <c r="BX45" s="7"/>
      <c r="BY45" s="7"/>
      <c r="BZ45" s="7"/>
      <c r="CA45" s="7"/>
      <c r="CB45" s="7"/>
      <c r="CC45" s="7"/>
      <c r="CD45" s="7"/>
      <c r="CE45" s="7"/>
      <c r="CF45" s="7"/>
      <c r="CG45" s="7"/>
      <c r="CH45" s="9">
        <f ca="1">E45</f>
        <v>10</v>
      </c>
    </row>
    <row r="46" spans="2:86" x14ac:dyDescent="0.25">
      <c r="D46" s="9">
        <v>10</v>
      </c>
      <c r="E46" s="9">
        <f t="shared" ca="1" si="21"/>
        <v>10</v>
      </c>
      <c r="F46" s="8">
        <f t="array" aca="1" ref="F46" ca="1">IF(SUM(OFFSET(Factors,VALUE(RIGHT(F$34,2)),1,1,68))=0,"None",SQRT(SUM((OFFSET(Factors,VALUE(RIGHT(F$34,2)),1,1,68)-$R46:$CG46)^2)))</f>
        <v>2.4494897427831779</v>
      </c>
      <c r="G46" s="8">
        <f t="array" aca="1" ref="G46" ca="1">IF(SUM(OFFSET(Factors,VALUE(RIGHT(G$34,2)),1,1,68))=0,"None",SQRT(SUM((OFFSET(Factors,VALUE(RIGHT(G$34,2)),1,1,68)-$R46:$CG46)^2)))</f>
        <v>2.2973414586817036</v>
      </c>
      <c r="H46" s="8">
        <f t="array" aca="1" ref="H46" ca="1">IF(SUM(OFFSET(Factors,VALUE(RIGHT(H$34,2)),1,1,68))=0,"None",SQRT(SUM((OFFSET(Factors,VALUE(RIGHT(H$34,2)),1,1,68)-$R46:$CG46)^2)))</f>
        <v>1.8761663039293719</v>
      </c>
      <c r="I46" s="8">
        <f t="array" aca="1" ref="I46" ca="1">IF(SUM(OFFSET(Factors,VALUE(RIGHT(I$34,2)),1,1,68))=0,"None",SQRT(SUM((OFFSET(Factors,VALUE(RIGHT(I$34,2)),1,1,68)-$R46:$CG46)^2)))</f>
        <v>2.4944382578492941</v>
      </c>
      <c r="J46" s="8">
        <f t="array" aca="1" ref="J46" ca="1">IF(SUM(OFFSET(Factors,VALUE(RIGHT(J$34,2)),1,1,68))=0,"None",SQRT(SUM((OFFSET(Factors,VALUE(RIGHT(J$34,2)),1,1,68)-$R46:$CG46)^2)))</f>
        <v>2.2627416997969521</v>
      </c>
      <c r="K46" s="8">
        <f t="array" aca="1" ref="K46" ca="1">IF(SUM(OFFSET(Factors,VALUE(RIGHT(K$34,2)),1,1,68))=0,"None",SQRT(SUM((OFFSET(Factors,VALUE(RIGHT(K$34,2)),1,1,68)-$R46:$CG46)^2)))</f>
        <v>2.5385910352879693</v>
      </c>
      <c r="L46" s="8">
        <f t="array" aca="1" ref="L46" ca="1">IF(SUM(OFFSET(Factors,VALUE(RIGHT(L$34,2)),1,1,68))=0,"None",SQRT(SUM((OFFSET(Factors,VALUE(RIGHT(L$34,2)),1,1,68)-$R46:$CG46)^2)))</f>
        <v>2.4494897427831779</v>
      </c>
      <c r="M46" s="8">
        <f t="array" aca="1" ref="M46" ca="1">IF(SUM(OFFSET(Factors,VALUE(RIGHT(M$34,2)),1,1,68))=0,"None",SQRT(SUM((OFFSET(Factors,VALUE(RIGHT(M$34,2)),1,1,68)-$R46:$CG46)^2)))</f>
        <v>2.318404623873926</v>
      </c>
      <c r="N46" s="8">
        <f t="array" aca="1" ref="N46" ca="1">IF(SUM(OFFSET(Factors,VALUE(RIGHT(N$34,2)),1,1,68))=0,"None",SQRT(SUM((OFFSET(Factors,VALUE(RIGHT(N$34,2)),1,1,68)-$R46:$CG46)^2)))</f>
        <v>2.7386127875258306</v>
      </c>
      <c r="O46" s="8">
        <f t="array" aca="1" ref="O46" ca="1">IF(SUM(OFFSET(Factors,VALUE(RIGHT(O$34,2)),1,1,68))=0,"None",SQRT(SUM((OFFSET(Factors,VALUE(RIGHT(O$34,2)),1,1,68)-$R46:$CG46)^2)))</f>
        <v>1.019803902718557</v>
      </c>
      <c r="Q46" s="18" t="s">
        <v>123</v>
      </c>
      <c r="R46" s="7">
        <v>0</v>
      </c>
      <c r="S46" s="7">
        <v>0</v>
      </c>
      <c r="T46" s="7">
        <v>0</v>
      </c>
      <c r="U46" s="7">
        <v>0</v>
      </c>
      <c r="V46" s="7">
        <v>0</v>
      </c>
      <c r="W46" s="7">
        <v>1</v>
      </c>
      <c r="X46" s="7">
        <v>0</v>
      </c>
      <c r="Y46" s="7">
        <v>0</v>
      </c>
      <c r="Z46" s="7">
        <v>0</v>
      </c>
      <c r="AA46" s="7">
        <v>0</v>
      </c>
      <c r="AB46" s="7">
        <v>0</v>
      </c>
      <c r="AC46" s="7">
        <v>0</v>
      </c>
      <c r="AD46" s="7">
        <v>0</v>
      </c>
      <c r="AE46" s="7">
        <v>0</v>
      </c>
      <c r="AF46" s="7">
        <v>0</v>
      </c>
      <c r="AG46" s="7">
        <v>0</v>
      </c>
      <c r="AH46" s="7">
        <v>0</v>
      </c>
      <c r="AI46" s="7">
        <v>0</v>
      </c>
      <c r="AJ46" s="7">
        <v>0</v>
      </c>
      <c r="AK46" s="7">
        <v>0</v>
      </c>
      <c r="AL46" s="7">
        <v>0</v>
      </c>
      <c r="AM46" s="7">
        <v>0</v>
      </c>
      <c r="AN46" s="7">
        <v>0</v>
      </c>
      <c r="AO46" s="7">
        <v>0</v>
      </c>
      <c r="AP46" s="7">
        <v>0</v>
      </c>
      <c r="AQ46" s="7">
        <v>0</v>
      </c>
      <c r="AR46" s="7">
        <v>0</v>
      </c>
      <c r="AS46" s="7">
        <v>0</v>
      </c>
      <c r="AT46" s="7">
        <v>0</v>
      </c>
      <c r="AU46" s="7">
        <v>1</v>
      </c>
      <c r="AV46" s="7">
        <v>0</v>
      </c>
      <c r="AW46" s="7">
        <v>0</v>
      </c>
      <c r="AX46" s="7">
        <v>0</v>
      </c>
      <c r="AY46" s="7">
        <v>0</v>
      </c>
      <c r="AZ46" s="7">
        <v>0</v>
      </c>
      <c r="BA46" s="7">
        <v>0</v>
      </c>
      <c r="BB46" s="7">
        <v>1</v>
      </c>
      <c r="BC46" s="7">
        <v>0</v>
      </c>
      <c r="BD46" s="7">
        <v>0</v>
      </c>
      <c r="BE46" s="7">
        <v>0</v>
      </c>
      <c r="BF46" s="7">
        <v>0</v>
      </c>
      <c r="BG46" s="7">
        <v>0</v>
      </c>
      <c r="BH46" s="7">
        <v>0</v>
      </c>
      <c r="BI46" s="7">
        <v>0</v>
      </c>
      <c r="BJ46" s="7">
        <v>0</v>
      </c>
      <c r="BK46" s="7">
        <v>0</v>
      </c>
      <c r="BL46" s="7">
        <v>0</v>
      </c>
      <c r="BM46" s="7">
        <v>0</v>
      </c>
      <c r="BN46" s="7">
        <v>0</v>
      </c>
      <c r="BO46" s="7">
        <v>0</v>
      </c>
      <c r="BP46" s="7">
        <v>0</v>
      </c>
      <c r="BQ46" s="7">
        <v>1</v>
      </c>
      <c r="BR46" s="7">
        <v>0</v>
      </c>
      <c r="BS46" s="7">
        <v>0</v>
      </c>
      <c r="BT46" s="7">
        <v>0</v>
      </c>
      <c r="BU46" s="7">
        <v>0</v>
      </c>
      <c r="BV46" s="7">
        <v>0</v>
      </c>
      <c r="BW46" s="7"/>
      <c r="BX46" s="7"/>
      <c r="BY46" s="7"/>
      <c r="BZ46" s="7"/>
      <c r="CA46" s="7"/>
      <c r="CB46" s="7"/>
      <c r="CC46" s="7"/>
      <c r="CD46" s="7"/>
      <c r="CE46" s="7"/>
      <c r="CF46" s="7"/>
      <c r="CG46" s="7"/>
      <c r="CH46" s="9">
        <f ca="1">E46</f>
        <v>10</v>
      </c>
    </row>
    <row r="47" spans="2:86" x14ac:dyDescent="0.25">
      <c r="D47" s="9">
        <v>8</v>
      </c>
      <c r="E47" s="9">
        <f t="shared" ca="1" si="21"/>
        <v>8</v>
      </c>
      <c r="F47" s="8">
        <f t="array" aca="1" ref="F47" ca="1">IF(SUM(OFFSET(Factors,VALUE(RIGHT(F$34,2)),1,1,68))=0,"None",SQRT(SUM((OFFSET(Factors,VALUE(RIGHT(F$34,2)),1,1,68)-$R47:$CG47)^2)))</f>
        <v>2.1602468994692865</v>
      </c>
      <c r="G47" s="8">
        <f t="array" aca="1" ref="G47" ca="1">IF(SUM(OFFSET(Factors,VALUE(RIGHT(G$34,2)),1,1,68))=0,"None",SQRT(SUM((OFFSET(Factors,VALUE(RIGHT(G$34,2)),1,1,68)-$R47:$CG47)^2)))</f>
        <v>2.2973414586817036</v>
      </c>
      <c r="H47" s="8">
        <f t="array" aca="1" ref="H47" ca="1">IF(SUM(OFFSET(Factors,VALUE(RIGHT(H$34,2)),1,1,68))=0,"None",SQRT(SUM((OFFSET(Factors,VALUE(RIGHT(H$34,2)),1,1,68)-$R47:$CG47)^2)))</f>
        <v>1.8761663039293719</v>
      </c>
      <c r="I47" s="8">
        <f t="array" aca="1" ref="I47" ca="1">IF(SUM(OFFSET(Factors,VALUE(RIGHT(I$34,2)),1,1,68))=0,"None",SQRT(SUM((OFFSET(Factors,VALUE(RIGHT(I$34,2)),1,1,68)-$R47:$CG47)^2)))</f>
        <v>2.3570226039551581</v>
      </c>
      <c r="J47" s="8">
        <f t="array" aca="1" ref="J47" ca="1">IF(SUM(OFFSET(Factors,VALUE(RIGHT(J$34,2)),1,1,68))=0,"None",SQRT(SUM((OFFSET(Factors,VALUE(RIGHT(J$34,2)),1,1,68)-$R47:$CG47)^2)))</f>
        <v>2.2627416997969521</v>
      </c>
      <c r="K47" s="8">
        <f t="array" aca="1" ref="K47" ca="1">IF(SUM(OFFSET(Factors,VALUE(RIGHT(K$34,2)),1,1,68))=0,"None",SQRT(SUM((OFFSET(Factors,VALUE(RIGHT(K$34,2)),1,1,68)-$R47:$CG47)^2)))</f>
        <v>2.2607766610417559</v>
      </c>
      <c r="L47" s="8">
        <f t="array" aca="1" ref="L47" ca="1">IF(SUM(OFFSET(Factors,VALUE(RIGHT(L$34,2)),1,1,68))=0,"None",SQRT(SUM((OFFSET(Factors,VALUE(RIGHT(L$34,2)),1,1,68)-$R47:$CG47)^2)))</f>
        <v>2</v>
      </c>
      <c r="M47" s="8">
        <f t="array" aca="1" ref="M47" ca="1">IF(SUM(OFFSET(Factors,VALUE(RIGHT(M$34,2)),1,1,68))=0,"None",SQRT(SUM((OFFSET(Factors,VALUE(RIGHT(M$34,2)),1,1,68)-$R47:$CG47)^2)))</f>
        <v>1.3693063937629153</v>
      </c>
      <c r="N47" s="8">
        <f t="array" aca="1" ref="N47" ca="1">IF(SUM(OFFSET(Factors,VALUE(RIGHT(N$34,2)),1,1,68))=0,"None",SQRT(SUM((OFFSET(Factors,VALUE(RIGHT(N$34,2)),1,1,68)-$R47:$CG47)^2)))</f>
        <v>2.7386127875258306</v>
      </c>
      <c r="O47" s="8">
        <f t="array" aca="1" ref="O47" ca="1">IF(SUM(OFFSET(Factors,VALUE(RIGHT(O$34,2)),1,1,68))=0,"None",SQRT(SUM((OFFSET(Factors,VALUE(RIGHT(O$34,2)),1,1,68)-$R47:$CG47)^2)))</f>
        <v>1.9595917942265426</v>
      </c>
      <c r="Q47" s="18" t="s">
        <v>124</v>
      </c>
      <c r="R47" s="7">
        <v>0</v>
      </c>
      <c r="S47" s="7">
        <v>0</v>
      </c>
      <c r="T47" s="7">
        <v>0</v>
      </c>
      <c r="U47" s="7">
        <v>0</v>
      </c>
      <c r="V47" s="7">
        <v>0</v>
      </c>
      <c r="W47" s="7">
        <v>1</v>
      </c>
      <c r="X47" s="7">
        <v>0</v>
      </c>
      <c r="Y47" s="7">
        <v>0</v>
      </c>
      <c r="Z47" s="7">
        <v>0</v>
      </c>
      <c r="AA47" s="7">
        <v>0</v>
      </c>
      <c r="AB47" s="7">
        <v>0</v>
      </c>
      <c r="AC47" s="7">
        <v>0</v>
      </c>
      <c r="AD47" s="7">
        <v>0</v>
      </c>
      <c r="AE47" s="7">
        <v>0</v>
      </c>
      <c r="AF47" s="7">
        <v>0</v>
      </c>
      <c r="AG47" s="7">
        <v>0</v>
      </c>
      <c r="AH47" s="7">
        <v>0</v>
      </c>
      <c r="AI47" s="7">
        <v>0</v>
      </c>
      <c r="AJ47" s="7">
        <v>0</v>
      </c>
      <c r="AK47" s="7">
        <v>0</v>
      </c>
      <c r="AL47" s="7">
        <v>0</v>
      </c>
      <c r="AM47" s="7">
        <v>0</v>
      </c>
      <c r="AN47" s="7">
        <v>0</v>
      </c>
      <c r="AO47" s="7">
        <v>0</v>
      </c>
      <c r="AP47" s="7">
        <v>0</v>
      </c>
      <c r="AQ47" s="7">
        <v>0</v>
      </c>
      <c r="AR47" s="7">
        <v>0</v>
      </c>
      <c r="AS47" s="7">
        <v>0</v>
      </c>
      <c r="AT47" s="7">
        <v>0</v>
      </c>
      <c r="AU47" s="7">
        <v>1</v>
      </c>
      <c r="AV47" s="7">
        <v>0</v>
      </c>
      <c r="AW47" s="7">
        <v>0</v>
      </c>
      <c r="AX47" s="7">
        <v>0</v>
      </c>
      <c r="AY47" s="7">
        <v>0</v>
      </c>
      <c r="AZ47" s="7">
        <v>1</v>
      </c>
      <c r="BA47" s="7">
        <v>0</v>
      </c>
      <c r="BB47" s="7">
        <v>0</v>
      </c>
      <c r="BC47" s="7">
        <v>0</v>
      </c>
      <c r="BD47" s="7">
        <v>0</v>
      </c>
      <c r="BE47" s="7">
        <v>0</v>
      </c>
      <c r="BF47" s="7">
        <v>0</v>
      </c>
      <c r="BG47" s="7">
        <v>0</v>
      </c>
      <c r="BH47" s="7">
        <v>0</v>
      </c>
      <c r="BI47" s="7">
        <v>0</v>
      </c>
      <c r="BJ47" s="7">
        <v>0</v>
      </c>
      <c r="BK47" s="7">
        <v>0</v>
      </c>
      <c r="BL47" s="7">
        <v>0</v>
      </c>
      <c r="BM47" s="7">
        <v>0</v>
      </c>
      <c r="BN47" s="7">
        <v>0</v>
      </c>
      <c r="BO47" s="7">
        <v>0</v>
      </c>
      <c r="BP47" s="7">
        <v>0</v>
      </c>
      <c r="BQ47" s="7">
        <v>0</v>
      </c>
      <c r="BR47" s="7">
        <v>0</v>
      </c>
      <c r="BS47" s="7">
        <v>1</v>
      </c>
      <c r="BT47" s="7">
        <v>0</v>
      </c>
      <c r="BU47" s="7">
        <v>0</v>
      </c>
      <c r="BV47" s="7">
        <v>0</v>
      </c>
      <c r="BW47" s="7"/>
      <c r="BX47" s="7"/>
      <c r="BY47" s="7"/>
      <c r="BZ47" s="7"/>
      <c r="CA47" s="7"/>
      <c r="CB47" s="7"/>
      <c r="CC47" s="7"/>
      <c r="CD47" s="7"/>
      <c r="CE47" s="7"/>
      <c r="CF47" s="7"/>
      <c r="CG47" s="7"/>
      <c r="CH47" s="9">
        <f ca="1">E47</f>
        <v>8</v>
      </c>
    </row>
    <row r="48" spans="2:86" x14ac:dyDescent="0.25">
      <c r="D48" s="9">
        <v>8</v>
      </c>
      <c r="E48" s="9">
        <f t="shared" ca="1" si="21"/>
        <v>8</v>
      </c>
      <c r="F48" s="8">
        <f t="array" aca="1" ref="F48" ca="1">IF(SUM(OFFSET(Factors,VALUE(RIGHT(F$34,2)),1,1,68))=0,"None",SQRT(SUM((OFFSET(Factors,VALUE(RIGHT(F$34,2)),1,1,68)-$R48:$CG48)^2)))</f>
        <v>2</v>
      </c>
      <c r="G48" s="8">
        <f t="array" aca="1" ref="G48" ca="1">IF(SUM(OFFSET(Factors,VALUE(RIGHT(G$34,2)),1,1,68))=0,"None",SQRT(SUM((OFFSET(Factors,VALUE(RIGHT(G$34,2)),1,1,68)-$R48:$CG48)^2)))</f>
        <v>2.2236106773543889</v>
      </c>
      <c r="H48" s="8">
        <f t="array" aca="1" ref="H48" ca="1">IF(SUM(OFFSET(Factors,VALUE(RIGHT(H$34,2)),1,1,68))=0,"None",SQRT(SUM((OFFSET(Factors,VALUE(RIGHT(H$34,2)),1,1,68)-$R48:$CG48)^2)))</f>
        <v>1.9798989873223332</v>
      </c>
      <c r="I48" s="8">
        <f t="array" aca="1" ref="I48" ca="1">IF(SUM(OFFSET(Factors,VALUE(RIGHT(I$34,2)),1,1,68))=0,"None",SQRT(SUM((OFFSET(Factors,VALUE(RIGHT(I$34,2)),1,1,68)-$R48:$CG48)^2)))</f>
        <v>2.3570226039551581</v>
      </c>
      <c r="J48" s="8">
        <f t="array" aca="1" ref="J48" ca="1">IF(SUM(OFFSET(Factors,VALUE(RIGHT(J$34,2)),1,1,68))=0,"None",SQRT(SUM((OFFSET(Factors,VALUE(RIGHT(J$34,2)),1,1,68)-$R48:$CG48)^2)))</f>
        <v>2.3494680248941462</v>
      </c>
      <c r="K48" s="8">
        <f t="array" aca="1" ref="K48" ca="1">IF(SUM(OFFSET(Factors,VALUE(RIGHT(K$34,2)),1,1,68))=0,"None",SQRT(SUM((OFFSET(Factors,VALUE(RIGHT(K$34,2)),1,1,68)-$R48:$CG48)^2)))</f>
        <v>1.6666666666666667</v>
      </c>
      <c r="L48" s="8">
        <f t="array" aca="1" ref="L48" ca="1">IF(SUM(OFFSET(Factors,VALUE(RIGHT(L$34,2)),1,1,68))=0,"None",SQRT(SUM((OFFSET(Factors,VALUE(RIGHT(L$34,2)),1,1,68)-$R48:$CG48)^2)))</f>
        <v>2.4494897427831779</v>
      </c>
      <c r="M48" s="8">
        <f t="array" aca="1" ref="M48" ca="1">IF(SUM(OFFSET(Factors,VALUE(RIGHT(M$34,2)),1,1,68))=0,"None",SQRT(SUM((OFFSET(Factors,VALUE(RIGHT(M$34,2)),1,1,68)-$R48:$CG48)^2)))</f>
        <v>0.93541434669348533</v>
      </c>
      <c r="N48" s="8">
        <f t="array" aca="1" ref="N48" ca="1">IF(SUM(OFFSET(Factors,VALUE(RIGHT(N$34,2)),1,1,68))=0,"None",SQRT(SUM((OFFSET(Factors,VALUE(RIGHT(N$34,2)),1,1,68)-$R48:$CG48)^2)))</f>
        <v>2.7386127875258306</v>
      </c>
      <c r="O48" s="8">
        <f t="array" aca="1" ref="O48" ca="1">IF(SUM(OFFSET(Factors,VALUE(RIGHT(O$34,2)),1,1,68))=0,"None",SQRT(SUM((OFFSET(Factors,VALUE(RIGHT(O$34,2)),1,1,68)-$R48:$CG48)^2)))</f>
        <v>2.5768197453450252</v>
      </c>
      <c r="Q48" s="18" t="s">
        <v>204</v>
      </c>
      <c r="R48" s="7">
        <v>0</v>
      </c>
      <c r="S48" s="7">
        <v>0</v>
      </c>
      <c r="T48" s="7">
        <v>0</v>
      </c>
      <c r="U48" s="7">
        <v>0</v>
      </c>
      <c r="V48" s="7">
        <v>0</v>
      </c>
      <c r="W48" s="7">
        <v>0</v>
      </c>
      <c r="X48" s="7">
        <v>0</v>
      </c>
      <c r="Y48" s="7">
        <v>1</v>
      </c>
      <c r="Z48" s="7">
        <v>0</v>
      </c>
      <c r="AA48" s="7">
        <v>0</v>
      </c>
      <c r="AB48" s="7">
        <v>0</v>
      </c>
      <c r="AC48" s="7">
        <v>0</v>
      </c>
      <c r="AD48" s="7">
        <v>0</v>
      </c>
      <c r="AE48" s="7">
        <v>0</v>
      </c>
      <c r="AF48" s="7">
        <v>0</v>
      </c>
      <c r="AG48" s="7">
        <v>0</v>
      </c>
      <c r="AH48" s="7">
        <v>0</v>
      </c>
      <c r="AI48" s="7">
        <v>0</v>
      </c>
      <c r="AJ48" s="7">
        <v>0</v>
      </c>
      <c r="AK48" s="7">
        <v>0</v>
      </c>
      <c r="AL48" s="7">
        <v>0</v>
      </c>
      <c r="AM48" s="7">
        <v>0</v>
      </c>
      <c r="AN48" s="7">
        <v>0</v>
      </c>
      <c r="AO48" s="7">
        <v>0</v>
      </c>
      <c r="AP48" s="7">
        <v>0</v>
      </c>
      <c r="AQ48" s="7">
        <v>0</v>
      </c>
      <c r="AR48" s="7">
        <v>0</v>
      </c>
      <c r="AS48" s="7">
        <v>0</v>
      </c>
      <c r="AT48" s="7">
        <v>0</v>
      </c>
      <c r="AU48" s="7">
        <v>0</v>
      </c>
      <c r="AV48" s="7">
        <v>1</v>
      </c>
      <c r="AW48" s="7">
        <v>0</v>
      </c>
      <c r="AX48" s="7">
        <v>0</v>
      </c>
      <c r="AY48" s="7">
        <v>0</v>
      </c>
      <c r="AZ48" s="7">
        <v>1</v>
      </c>
      <c r="BA48" s="7">
        <v>0</v>
      </c>
      <c r="BB48" s="7">
        <v>0</v>
      </c>
      <c r="BC48" s="7">
        <v>0</v>
      </c>
      <c r="BD48" s="7">
        <v>0</v>
      </c>
      <c r="BE48" s="7">
        <v>0</v>
      </c>
      <c r="BF48" s="7">
        <v>0</v>
      </c>
      <c r="BG48" s="7">
        <v>0</v>
      </c>
      <c r="BH48" s="7">
        <v>0</v>
      </c>
      <c r="BI48" s="7">
        <v>0</v>
      </c>
      <c r="BJ48" s="7">
        <v>0</v>
      </c>
      <c r="BK48" s="7">
        <v>0</v>
      </c>
      <c r="BL48" s="7">
        <v>0</v>
      </c>
      <c r="BM48" s="7">
        <v>0</v>
      </c>
      <c r="BN48" s="7">
        <v>0</v>
      </c>
      <c r="BO48" s="7">
        <v>0</v>
      </c>
      <c r="BP48" s="7">
        <v>0</v>
      </c>
      <c r="BQ48" s="7">
        <v>0</v>
      </c>
      <c r="BR48" s="7">
        <v>0</v>
      </c>
      <c r="BS48" s="7">
        <v>1</v>
      </c>
      <c r="BT48" s="7">
        <v>0</v>
      </c>
      <c r="BU48" s="7">
        <v>0</v>
      </c>
      <c r="BV48" s="7">
        <v>0</v>
      </c>
      <c r="BW48" s="7"/>
      <c r="BX48" s="7"/>
      <c r="BY48" s="7"/>
      <c r="BZ48" s="7"/>
      <c r="CA48" s="7"/>
      <c r="CB48" s="7"/>
      <c r="CC48" s="7"/>
      <c r="CD48" s="7"/>
      <c r="CE48" s="7"/>
      <c r="CF48" s="7"/>
      <c r="CG48" s="7"/>
      <c r="CH48" s="9">
        <f ca="1">E48</f>
        <v>8</v>
      </c>
    </row>
    <row r="49" spans="4:86" x14ac:dyDescent="0.25">
      <c r="D49" s="9">
        <v>10</v>
      </c>
      <c r="E49" s="9">
        <f t="shared" ca="1" si="21"/>
        <v>10</v>
      </c>
      <c r="F49" s="8">
        <f t="array" aca="1" ref="F49" ca="1">IF(SUM(OFFSET(Factors,VALUE(RIGHT(F$34,2)),1,1,68))=0,"None",SQRT(SUM((OFFSET(Factors,VALUE(RIGHT(F$34,2)),1,1,68)-$R49:$CG49)^2)))</f>
        <v>2.1602468994692869</v>
      </c>
      <c r="G49" s="8">
        <f t="array" aca="1" ref="G49" ca="1">IF(SUM(OFFSET(Factors,VALUE(RIGHT(G$34,2)),1,1,68))=0,"None",SQRT(SUM((OFFSET(Factors,VALUE(RIGHT(G$34,2)),1,1,68)-$R49:$CG49)^2)))</f>
        <v>2.1473497877875207</v>
      </c>
      <c r="H49" s="8">
        <f t="array" aca="1" ref="H49" ca="1">IF(SUM(OFFSET(Factors,VALUE(RIGHT(H$34,2)),1,1,68))=0,"None",SQRT(SUM((OFFSET(Factors,VALUE(RIGHT(H$34,2)),1,1,68)-$R49:$CG49)^2)))</f>
        <v>2.1725560982400434</v>
      </c>
      <c r="I49" s="8">
        <f t="array" aca="1" ref="I49" ca="1">IF(SUM(OFFSET(Factors,VALUE(RIGHT(I$34,2)),1,1,68))=0,"None",SQRT(SUM((OFFSET(Factors,VALUE(RIGHT(I$34,2)),1,1,68)-$R49:$CG49)^2)))</f>
        <v>2.4944382578492941</v>
      </c>
      <c r="J49" s="8">
        <f t="array" aca="1" ref="J49" ca="1">IF(SUM(OFFSET(Factors,VALUE(RIGHT(J$34,2)),1,1,68))=0,"None",SQRT(SUM((OFFSET(Factors,VALUE(RIGHT(J$34,2)),1,1,68)-$R49:$CG49)^2)))</f>
        <v>2.1725560982400434</v>
      </c>
      <c r="K49" s="8">
        <f t="array" aca="1" ref="K49" ca="1">IF(SUM(OFFSET(Factors,VALUE(RIGHT(K$34,2)),1,1,68))=0,"None",SQRT(SUM((OFFSET(Factors,VALUE(RIGHT(K$34,2)),1,1,68)-$R49:$CG49)^2)))</f>
        <v>2.4720661623652211</v>
      </c>
      <c r="L49" s="8">
        <f t="array" aca="1" ref="L49" ca="1">IF(SUM(OFFSET(Factors,VALUE(RIGHT(L$34,2)),1,1,68))=0,"None",SQRT(SUM((OFFSET(Factors,VALUE(RIGHT(L$34,2)),1,1,68)-$R49:$CG49)^2)))</f>
        <v>2.4494897427831779</v>
      </c>
      <c r="M49" s="8">
        <f t="array" aca="1" ref="M49" ca="1">IF(SUM(OFFSET(Factors,VALUE(RIGHT(M$34,2)),1,1,68))=0,"None",SQRT(SUM((OFFSET(Factors,VALUE(RIGHT(M$34,2)),1,1,68)-$R49:$CG49)^2)))</f>
        <v>2.4238399287081647</v>
      </c>
      <c r="N49" s="8">
        <f t="array" aca="1" ref="N49" ca="1">IF(SUM(OFFSET(Factors,VALUE(RIGHT(N$34,2)),1,1,68))=0,"None",SQRT(SUM((OFFSET(Factors,VALUE(RIGHT(N$34,2)),1,1,68)-$R49:$CG49)^2)))</f>
        <v>2.7386127875258306</v>
      </c>
      <c r="O49" s="8">
        <f t="array" aca="1" ref="O49" ca="1">IF(SUM(OFFSET(Factors,VALUE(RIGHT(O$34,2)),1,1,68))=0,"None",SQRT(SUM((OFFSET(Factors,VALUE(RIGHT(O$34,2)),1,1,68)-$R49:$CG49)^2)))</f>
        <v>1.3564659966250538</v>
      </c>
      <c r="Q49" s="18" t="s">
        <v>125</v>
      </c>
      <c r="R49" s="7">
        <v>0</v>
      </c>
      <c r="S49" s="7">
        <v>0</v>
      </c>
      <c r="T49" s="7">
        <v>0</v>
      </c>
      <c r="U49" s="7">
        <v>0</v>
      </c>
      <c r="V49" s="7">
        <v>0</v>
      </c>
      <c r="W49" s="7">
        <v>0</v>
      </c>
      <c r="X49" s="7">
        <v>1</v>
      </c>
      <c r="Y49" s="7">
        <v>0</v>
      </c>
      <c r="Z49" s="7">
        <v>0</v>
      </c>
      <c r="AA49" s="7">
        <v>0</v>
      </c>
      <c r="AB49" s="7">
        <v>0</v>
      </c>
      <c r="AC49" s="7">
        <v>0</v>
      </c>
      <c r="AD49" s="7">
        <v>0</v>
      </c>
      <c r="AE49" s="7">
        <v>0</v>
      </c>
      <c r="AF49" s="7">
        <v>0</v>
      </c>
      <c r="AG49" s="7">
        <v>0</v>
      </c>
      <c r="AH49" s="7">
        <v>0</v>
      </c>
      <c r="AI49" s="7">
        <v>0</v>
      </c>
      <c r="AJ49" s="7">
        <v>0</v>
      </c>
      <c r="AK49" s="7">
        <v>0</v>
      </c>
      <c r="AL49" s="7">
        <v>0</v>
      </c>
      <c r="AM49" s="7">
        <v>0</v>
      </c>
      <c r="AN49" s="7">
        <v>0</v>
      </c>
      <c r="AO49" s="7">
        <v>0</v>
      </c>
      <c r="AP49" s="7">
        <v>0</v>
      </c>
      <c r="AQ49" s="7">
        <v>0</v>
      </c>
      <c r="AR49" s="7">
        <v>0</v>
      </c>
      <c r="AS49" s="7">
        <v>0</v>
      </c>
      <c r="AT49" s="7">
        <v>0</v>
      </c>
      <c r="AU49" s="7">
        <v>1</v>
      </c>
      <c r="AV49" s="7">
        <v>0</v>
      </c>
      <c r="AW49" s="7">
        <v>0</v>
      </c>
      <c r="AX49" s="7">
        <v>0</v>
      </c>
      <c r="AY49" s="7">
        <v>0</v>
      </c>
      <c r="AZ49" s="7">
        <v>0</v>
      </c>
      <c r="BA49" s="7">
        <v>1</v>
      </c>
      <c r="BB49" s="7">
        <v>0</v>
      </c>
      <c r="BC49" s="7">
        <v>0</v>
      </c>
      <c r="BD49" s="7">
        <v>0</v>
      </c>
      <c r="BE49" s="7">
        <v>0</v>
      </c>
      <c r="BF49" s="7">
        <v>0</v>
      </c>
      <c r="BG49" s="7">
        <v>0</v>
      </c>
      <c r="BH49" s="7">
        <v>0</v>
      </c>
      <c r="BI49" s="7">
        <v>0</v>
      </c>
      <c r="BJ49" s="7">
        <v>0</v>
      </c>
      <c r="BK49" s="7">
        <v>0</v>
      </c>
      <c r="BL49" s="7">
        <v>0</v>
      </c>
      <c r="BM49" s="7">
        <v>0</v>
      </c>
      <c r="BN49" s="7">
        <v>0</v>
      </c>
      <c r="BO49" s="7">
        <v>0</v>
      </c>
      <c r="BP49" s="7">
        <v>0</v>
      </c>
      <c r="BQ49" s="7">
        <v>1</v>
      </c>
      <c r="BR49" s="7">
        <v>0</v>
      </c>
      <c r="BS49" s="7">
        <v>0</v>
      </c>
      <c r="BT49" s="7">
        <v>0</v>
      </c>
      <c r="BU49" s="7">
        <v>0</v>
      </c>
      <c r="BV49" s="7">
        <v>0</v>
      </c>
      <c r="BW49" s="7"/>
      <c r="BX49" s="7"/>
      <c r="BY49" s="7"/>
      <c r="BZ49" s="7"/>
      <c r="CA49" s="7"/>
      <c r="CB49" s="7"/>
      <c r="CC49" s="7"/>
      <c r="CD49" s="7"/>
      <c r="CE49" s="7"/>
      <c r="CF49" s="7"/>
      <c r="CG49" s="7"/>
      <c r="CH49" s="9">
        <f ca="1">E49</f>
        <v>10</v>
      </c>
    </row>
    <row r="50" spans="4:86" x14ac:dyDescent="0.25">
      <c r="D50" s="9">
        <v>4</v>
      </c>
      <c r="E50" s="9">
        <f t="shared" ca="1" si="21"/>
        <v>4</v>
      </c>
      <c r="F50" s="8">
        <f t="array" aca="1" ref="F50" ca="1">IF(SUM(OFFSET(Factors,VALUE(RIGHT(F$34,2)),1,1,68))=0,"None",SQRT(SUM((OFFSET(Factors,VALUE(RIGHT(F$34,2)),1,1,68)-$R50:$CG50)^2)))</f>
        <v>2.3094010767585034</v>
      </c>
      <c r="G50" s="8">
        <f t="array" aca="1" ref="G50" ca="1">IF(SUM(OFFSET(Factors,VALUE(RIGHT(G$34,2)),1,1,68))=0,"None",SQRT(SUM((OFFSET(Factors,VALUE(RIGHT(G$34,2)),1,1,68)-$R50:$CG50)^2)))</f>
        <v>2.2236106773543889</v>
      </c>
      <c r="H50" s="8">
        <f t="array" aca="1" ref="H50" ca="1">IF(SUM(OFFSET(Factors,VALUE(RIGHT(H$34,2)),1,1,68))=0,"None",SQRT(SUM((OFFSET(Factors,VALUE(RIGHT(H$34,2)),1,1,68)-$R50:$CG50)^2)))</f>
        <v>2.2627416997969521</v>
      </c>
      <c r="I50" s="8">
        <f t="array" aca="1" ref="I50" ca="1">IF(SUM(OFFSET(Factors,VALUE(RIGHT(I$34,2)),1,1,68))=0,"None",SQRT(SUM((OFFSET(Factors,VALUE(RIGHT(I$34,2)),1,1,68)-$R50:$CG50)^2)))</f>
        <v>1.4907119849998598</v>
      </c>
      <c r="J50" s="8">
        <f t="array" aca="1" ref="J50" ca="1">IF(SUM(OFFSET(Factors,VALUE(RIGHT(J$34,2)),1,1,68))=0,"None",SQRT(SUM((OFFSET(Factors,VALUE(RIGHT(J$34,2)),1,1,68)-$R50:$CG50)^2)))</f>
        <v>2.1725560982400434</v>
      </c>
      <c r="K50" s="8">
        <f t="array" aca="1" ref="K50" ca="1">IF(SUM(OFFSET(Factors,VALUE(RIGHT(K$34,2)),1,1,68))=0,"None",SQRT(SUM((OFFSET(Factors,VALUE(RIGHT(K$34,2)),1,1,68)-$R50:$CG50)^2)))</f>
        <v>2.2607766610417559</v>
      </c>
      <c r="L50" s="8">
        <f t="array" aca="1" ref="L50" ca="1">IF(SUM(OFFSET(Factors,VALUE(RIGHT(L$34,2)),1,1,68))=0,"None",SQRT(SUM((OFFSET(Factors,VALUE(RIGHT(L$34,2)),1,1,68)-$R50:$CG50)^2)))</f>
        <v>2.8284271247461903</v>
      </c>
      <c r="M50" s="8">
        <f t="array" aca="1" ref="M50" ca="1">IF(SUM(OFFSET(Factors,VALUE(RIGHT(M$34,2)),1,1,68))=0,"None",SQRT(SUM((OFFSET(Factors,VALUE(RIGHT(M$34,2)),1,1,68)-$R50:$CG50)^2)))</f>
        <v>2.0916500663351889</v>
      </c>
      <c r="N50" s="8">
        <f t="array" aca="1" ref="N50" ca="1">IF(SUM(OFFSET(Factors,VALUE(RIGHT(N$34,2)),1,1,68))=0,"None",SQRT(SUM((OFFSET(Factors,VALUE(RIGHT(N$34,2)),1,1,68)-$R50:$CG50)^2)))</f>
        <v>2.7386127875258306</v>
      </c>
      <c r="O50" s="8">
        <f t="array" aca="1" ref="O50" ca="1">IF(SUM(OFFSET(Factors,VALUE(RIGHT(O$34,2)),1,1,68))=0,"None",SQRT(SUM((OFFSET(Factors,VALUE(RIGHT(O$34,2)),1,1,68)-$R50:$CG50)^2)))</f>
        <v>2.4979991993593593</v>
      </c>
      <c r="Q50" s="18" t="s">
        <v>126</v>
      </c>
      <c r="R50" s="7">
        <v>0</v>
      </c>
      <c r="S50" s="7">
        <v>0</v>
      </c>
      <c r="T50" s="7">
        <v>0</v>
      </c>
      <c r="U50" s="7">
        <v>1</v>
      </c>
      <c r="V50" s="7">
        <v>0</v>
      </c>
      <c r="W50" s="7">
        <v>0</v>
      </c>
      <c r="X50" s="7">
        <v>0</v>
      </c>
      <c r="Y50" s="7">
        <v>0</v>
      </c>
      <c r="Z50" s="7">
        <v>0</v>
      </c>
      <c r="AA50" s="7">
        <v>0</v>
      </c>
      <c r="AB50" s="7">
        <v>0</v>
      </c>
      <c r="AC50" s="7">
        <v>0</v>
      </c>
      <c r="AD50" s="7">
        <v>0</v>
      </c>
      <c r="AE50" s="7">
        <v>0</v>
      </c>
      <c r="AF50" s="7">
        <v>0</v>
      </c>
      <c r="AG50" s="7">
        <v>0</v>
      </c>
      <c r="AH50" s="7">
        <v>0</v>
      </c>
      <c r="AI50" s="7">
        <v>0</v>
      </c>
      <c r="AJ50" s="7">
        <v>0</v>
      </c>
      <c r="AK50" s="7">
        <v>0</v>
      </c>
      <c r="AL50" s="7">
        <v>0</v>
      </c>
      <c r="AM50" s="7">
        <v>0</v>
      </c>
      <c r="AN50" s="7">
        <v>0</v>
      </c>
      <c r="AO50" s="7">
        <v>0</v>
      </c>
      <c r="AP50" s="7">
        <v>0</v>
      </c>
      <c r="AQ50" s="7">
        <v>0</v>
      </c>
      <c r="AR50" s="7">
        <v>1</v>
      </c>
      <c r="AS50" s="7">
        <v>0</v>
      </c>
      <c r="AT50" s="7">
        <v>0</v>
      </c>
      <c r="AU50" s="7">
        <v>0</v>
      </c>
      <c r="AV50" s="7">
        <v>0</v>
      </c>
      <c r="AW50" s="7">
        <v>0</v>
      </c>
      <c r="AX50" s="7">
        <v>0</v>
      </c>
      <c r="AY50" s="7">
        <v>0</v>
      </c>
      <c r="AZ50" s="7">
        <v>1</v>
      </c>
      <c r="BA50" s="7">
        <v>0</v>
      </c>
      <c r="BB50" s="7">
        <v>0</v>
      </c>
      <c r="BC50" s="7">
        <v>0</v>
      </c>
      <c r="BD50" s="7">
        <v>0</v>
      </c>
      <c r="BE50" s="7">
        <v>0</v>
      </c>
      <c r="BF50" s="7">
        <v>0</v>
      </c>
      <c r="BG50" s="7">
        <v>0</v>
      </c>
      <c r="BH50" s="7">
        <v>0</v>
      </c>
      <c r="BI50" s="7">
        <v>0</v>
      </c>
      <c r="BJ50" s="7">
        <v>0</v>
      </c>
      <c r="BK50" s="7">
        <v>0</v>
      </c>
      <c r="BL50" s="7">
        <v>0</v>
      </c>
      <c r="BM50" s="7">
        <v>0</v>
      </c>
      <c r="BN50" s="7">
        <v>0</v>
      </c>
      <c r="BO50" s="7">
        <v>0</v>
      </c>
      <c r="BP50" s="7">
        <v>0</v>
      </c>
      <c r="BQ50" s="7">
        <v>0</v>
      </c>
      <c r="BR50" s="7">
        <v>1</v>
      </c>
      <c r="BS50" s="7">
        <v>0</v>
      </c>
      <c r="BT50" s="7">
        <v>0</v>
      </c>
      <c r="BU50" s="7">
        <v>0</v>
      </c>
      <c r="BV50" s="7">
        <v>0</v>
      </c>
      <c r="BW50" s="7"/>
      <c r="BX50" s="7"/>
      <c r="BY50" s="7"/>
      <c r="BZ50" s="7"/>
      <c r="CA50" s="7"/>
      <c r="CB50" s="7"/>
      <c r="CC50" s="7"/>
      <c r="CD50" s="7"/>
      <c r="CE50" s="7"/>
      <c r="CF50" s="7"/>
      <c r="CG50" s="7"/>
      <c r="CH50" s="9">
        <f ca="1">E50</f>
        <v>4</v>
      </c>
    </row>
    <row r="51" spans="4:86" x14ac:dyDescent="0.25">
      <c r="D51" s="9">
        <v>7</v>
      </c>
      <c r="E51" s="9">
        <f t="shared" ca="1" si="21"/>
        <v>7</v>
      </c>
      <c r="F51" s="8">
        <f t="array" aca="1" ref="F51" ca="1">IF(SUM(OFFSET(Factors,VALUE(RIGHT(F$34,2)),1,1,68))=0,"None",SQRT(SUM((OFFSET(Factors,VALUE(RIGHT(F$34,2)),1,1,68)-$R51:$CG51)^2)))</f>
        <v>1.8257418583505538</v>
      </c>
      <c r="G51" s="8">
        <f t="array" aca="1" ref="G51" ca="1">IF(SUM(OFFSET(Factors,VALUE(RIGHT(G$34,2)),1,1,68))=0,"None",SQRT(SUM((OFFSET(Factors,VALUE(RIGHT(G$34,2)),1,1,68)-$R51:$CG51)^2)))</f>
        <v>1.9860625479688307</v>
      </c>
      <c r="H51" s="8">
        <f t="array" aca="1" ref="H51" ca="1">IF(SUM(OFFSET(Factors,VALUE(RIGHT(H$34,2)),1,1,68))=0,"None",SQRT(SUM((OFFSET(Factors,VALUE(RIGHT(H$34,2)),1,1,68)-$R51:$CG51)^2)))</f>
        <v>2.2627416997969521</v>
      </c>
      <c r="I51" s="8">
        <f t="array" aca="1" ref="I51" ca="1">IF(SUM(OFFSET(Factors,VALUE(RIGHT(I$34,2)),1,1,68))=0,"None",SQRT(SUM((OFFSET(Factors,VALUE(RIGHT(I$34,2)),1,1,68)-$R51:$CG51)^2)))</f>
        <v>2.4944382578492941</v>
      </c>
      <c r="J51" s="8">
        <f t="array" aca="1" ref="J51" ca="1">IF(SUM(OFFSET(Factors,VALUE(RIGHT(J$34,2)),1,1,68))=0,"None",SQRT(SUM((OFFSET(Factors,VALUE(RIGHT(J$34,2)),1,1,68)-$R51:$CG51)^2)))</f>
        <v>2.078460969082653</v>
      </c>
      <c r="K51" s="8">
        <f t="array" aca="1" ref="K51" ca="1">IF(SUM(OFFSET(Factors,VALUE(RIGHT(K$34,2)),1,1,68))=0,"None",SQRT(SUM((OFFSET(Factors,VALUE(RIGHT(K$34,2)),1,1,68)-$R51:$CG51)^2)))</f>
        <v>2.5385910352879697</v>
      </c>
      <c r="L51" s="8">
        <f t="array" aca="1" ref="L51" ca="1">IF(SUM(OFFSET(Factors,VALUE(RIGHT(L$34,2)),1,1,68))=0,"None",SQRT(SUM((OFFSET(Factors,VALUE(RIGHT(L$34,2)),1,1,68)-$R51:$CG51)^2)))</f>
        <v>0</v>
      </c>
      <c r="M51" s="8">
        <f t="array" aca="1" ref="M51" ca="1">IF(SUM(OFFSET(Factors,VALUE(RIGHT(M$34,2)),1,1,68))=0,"None",SQRT(SUM((OFFSET(Factors,VALUE(RIGHT(M$34,2)),1,1,68)-$R51:$CG51)^2)))</f>
        <v>2.0916500663351889</v>
      </c>
      <c r="N51" s="8">
        <f t="array" aca="1" ref="N51" ca="1">IF(SUM(OFFSET(Factors,VALUE(RIGHT(N$34,2)),1,1,68))=0,"None",SQRT(SUM((OFFSET(Factors,VALUE(RIGHT(N$34,2)),1,1,68)-$R51:$CG51)^2)))</f>
        <v>2.7386127875258306</v>
      </c>
      <c r="O51" s="8">
        <f t="array" aca="1" ref="O51" ca="1">IF(SUM(OFFSET(Factors,VALUE(RIGHT(O$34,2)),1,1,68))=0,"None",SQRT(SUM((OFFSET(Factors,VALUE(RIGHT(O$34,2)),1,1,68)-$R51:$CG51)^2)))</f>
        <v>2.3323807579381204</v>
      </c>
      <c r="Q51" s="18" t="s">
        <v>127</v>
      </c>
      <c r="R51" s="7">
        <v>0</v>
      </c>
      <c r="S51" s="7">
        <v>0</v>
      </c>
      <c r="T51" s="7">
        <v>0</v>
      </c>
      <c r="U51" s="7">
        <v>0</v>
      </c>
      <c r="V51" s="7">
        <v>0</v>
      </c>
      <c r="W51" s="7">
        <v>1</v>
      </c>
      <c r="X51" s="7">
        <v>0</v>
      </c>
      <c r="Y51" s="7">
        <v>0</v>
      </c>
      <c r="Z51" s="7">
        <v>0</v>
      </c>
      <c r="AA51" s="7">
        <v>0</v>
      </c>
      <c r="AB51" s="7">
        <v>0</v>
      </c>
      <c r="AC51" s="7">
        <v>0</v>
      </c>
      <c r="AD51" s="7">
        <v>0</v>
      </c>
      <c r="AE51" s="7">
        <v>0</v>
      </c>
      <c r="AF51" s="7">
        <v>0</v>
      </c>
      <c r="AG51" s="7">
        <v>0</v>
      </c>
      <c r="AH51" s="7">
        <v>0</v>
      </c>
      <c r="AI51" s="7">
        <v>0</v>
      </c>
      <c r="AJ51" s="7">
        <v>0</v>
      </c>
      <c r="AK51" s="7">
        <v>0</v>
      </c>
      <c r="AL51" s="7">
        <v>0</v>
      </c>
      <c r="AM51" s="7">
        <v>0</v>
      </c>
      <c r="AN51" s="7">
        <v>0</v>
      </c>
      <c r="AO51" s="7">
        <v>0</v>
      </c>
      <c r="AP51" s="7">
        <v>0</v>
      </c>
      <c r="AQ51" s="7">
        <v>0</v>
      </c>
      <c r="AR51" s="7">
        <v>0</v>
      </c>
      <c r="AS51" s="7">
        <v>0</v>
      </c>
      <c r="AT51" s="7">
        <v>1</v>
      </c>
      <c r="AU51" s="7">
        <v>0</v>
      </c>
      <c r="AV51" s="7">
        <v>0</v>
      </c>
      <c r="AW51" s="7">
        <v>0</v>
      </c>
      <c r="AX51" s="7">
        <v>0</v>
      </c>
      <c r="AY51" s="7">
        <v>0</v>
      </c>
      <c r="AZ51" s="7">
        <v>0</v>
      </c>
      <c r="BA51" s="7">
        <v>1</v>
      </c>
      <c r="BB51" s="7">
        <v>0</v>
      </c>
      <c r="BC51" s="7">
        <v>0</v>
      </c>
      <c r="BD51" s="7">
        <v>0</v>
      </c>
      <c r="BE51" s="7">
        <v>0</v>
      </c>
      <c r="BF51" s="7">
        <v>0</v>
      </c>
      <c r="BG51" s="7">
        <v>0</v>
      </c>
      <c r="BH51" s="7">
        <v>0</v>
      </c>
      <c r="BI51" s="7">
        <v>0</v>
      </c>
      <c r="BJ51" s="7">
        <v>0</v>
      </c>
      <c r="BK51" s="7">
        <v>0</v>
      </c>
      <c r="BL51" s="7">
        <v>0</v>
      </c>
      <c r="BM51" s="7">
        <v>0</v>
      </c>
      <c r="BN51" s="7">
        <v>0</v>
      </c>
      <c r="BO51" s="7">
        <v>0</v>
      </c>
      <c r="BP51" s="7">
        <v>0</v>
      </c>
      <c r="BQ51" s="7">
        <v>0</v>
      </c>
      <c r="BR51" s="7">
        <v>0</v>
      </c>
      <c r="BS51" s="7">
        <v>1</v>
      </c>
      <c r="BT51" s="7">
        <v>0</v>
      </c>
      <c r="BU51" s="7">
        <v>0</v>
      </c>
      <c r="BV51" s="7">
        <v>0</v>
      </c>
      <c r="BW51" s="7"/>
      <c r="BX51" s="7"/>
      <c r="BY51" s="7"/>
      <c r="BZ51" s="7"/>
      <c r="CA51" s="7"/>
      <c r="CB51" s="7"/>
      <c r="CC51" s="7"/>
      <c r="CD51" s="7"/>
      <c r="CE51" s="7"/>
      <c r="CF51" s="7"/>
      <c r="CG51" s="7"/>
      <c r="CH51" s="9">
        <f ca="1">E51</f>
        <v>7</v>
      </c>
    </row>
    <row r="52" spans="4:86" x14ac:dyDescent="0.25">
      <c r="D52" s="9">
        <v>7</v>
      </c>
      <c r="E52" s="9">
        <f t="shared" ca="1" si="21"/>
        <v>7</v>
      </c>
      <c r="F52" s="8">
        <f t="array" aca="1" ref="F52" ca="1">IF(SUM(OFFSET(Factors,VALUE(RIGHT(F$34,2)),1,1,68))=0,"None",SQRT(SUM((OFFSET(Factors,VALUE(RIGHT(F$34,2)),1,1,68)-$R52:$CG52)^2)))</f>
        <v>1.8257418583505538</v>
      </c>
      <c r="G52" s="8">
        <f t="array" aca="1" ref="G52" ca="1">IF(SUM(OFFSET(Factors,VALUE(RIGHT(G$34,2)),1,1,68))=0,"None",SQRT(SUM((OFFSET(Factors,VALUE(RIGHT(G$34,2)),1,1,68)-$R52:$CG52)^2)))</f>
        <v>1.9860625479688307</v>
      </c>
      <c r="H52" s="8">
        <f t="array" aca="1" ref="H52" ca="1">IF(SUM(OFFSET(Factors,VALUE(RIGHT(H$34,2)),1,1,68))=0,"None",SQRT(SUM((OFFSET(Factors,VALUE(RIGHT(H$34,2)),1,1,68)-$R52:$CG52)^2)))</f>
        <v>2.2627416997969521</v>
      </c>
      <c r="I52" s="8">
        <f t="array" aca="1" ref="I52" ca="1">IF(SUM(OFFSET(Factors,VALUE(RIGHT(I$34,2)),1,1,68))=0,"None",SQRT(SUM((OFFSET(Factors,VALUE(RIGHT(I$34,2)),1,1,68)-$R52:$CG52)^2)))</f>
        <v>2.4944382578492941</v>
      </c>
      <c r="J52" s="8">
        <f t="array" aca="1" ref="J52" ca="1">IF(SUM(OFFSET(Factors,VALUE(RIGHT(J$34,2)),1,1,68))=0,"None",SQRT(SUM((OFFSET(Factors,VALUE(RIGHT(J$34,2)),1,1,68)-$R52:$CG52)^2)))</f>
        <v>2.078460969082653</v>
      </c>
      <c r="K52" s="8">
        <f t="array" aca="1" ref="K52" ca="1">IF(SUM(OFFSET(Factors,VALUE(RIGHT(K$34,2)),1,1,68))=0,"None",SQRT(SUM((OFFSET(Factors,VALUE(RIGHT(K$34,2)),1,1,68)-$R52:$CG52)^2)))</f>
        <v>2.5385910352879697</v>
      </c>
      <c r="L52" s="8">
        <f t="array" aca="1" ref="L52" ca="1">IF(SUM(OFFSET(Factors,VALUE(RIGHT(L$34,2)),1,1,68))=0,"None",SQRT(SUM((OFFSET(Factors,VALUE(RIGHT(L$34,2)),1,1,68)-$R52:$CG52)^2)))</f>
        <v>0</v>
      </c>
      <c r="M52" s="8">
        <f t="array" aca="1" ref="M52" ca="1">IF(SUM(OFFSET(Factors,VALUE(RIGHT(M$34,2)),1,1,68))=0,"None",SQRT(SUM((OFFSET(Factors,VALUE(RIGHT(M$34,2)),1,1,68)-$R52:$CG52)^2)))</f>
        <v>2.0916500663351889</v>
      </c>
      <c r="N52" s="8">
        <f t="array" aca="1" ref="N52" ca="1">IF(SUM(OFFSET(Factors,VALUE(RIGHT(N$34,2)),1,1,68))=0,"None",SQRT(SUM((OFFSET(Factors,VALUE(RIGHT(N$34,2)),1,1,68)-$R52:$CG52)^2)))</f>
        <v>2.7386127875258306</v>
      </c>
      <c r="O52" s="8">
        <f t="array" aca="1" ref="O52" ca="1">IF(SUM(OFFSET(Factors,VALUE(RIGHT(O$34,2)),1,1,68))=0,"None",SQRT(SUM((OFFSET(Factors,VALUE(RIGHT(O$34,2)),1,1,68)-$R52:$CG52)^2)))</f>
        <v>2.3323807579381204</v>
      </c>
      <c r="Q52" s="18" t="s">
        <v>128</v>
      </c>
      <c r="R52" s="7">
        <v>0</v>
      </c>
      <c r="S52" s="7">
        <v>0</v>
      </c>
      <c r="T52" s="7">
        <v>0</v>
      </c>
      <c r="U52" s="7">
        <v>0</v>
      </c>
      <c r="V52" s="7">
        <v>0</v>
      </c>
      <c r="W52" s="7">
        <v>1</v>
      </c>
      <c r="X52" s="7">
        <v>0</v>
      </c>
      <c r="Y52" s="7">
        <v>0</v>
      </c>
      <c r="Z52" s="7">
        <v>0</v>
      </c>
      <c r="AA52" s="7">
        <v>0</v>
      </c>
      <c r="AB52" s="7">
        <v>0</v>
      </c>
      <c r="AC52" s="7">
        <v>0</v>
      </c>
      <c r="AD52" s="7">
        <v>0</v>
      </c>
      <c r="AE52" s="7">
        <v>0</v>
      </c>
      <c r="AF52" s="7">
        <v>0</v>
      </c>
      <c r="AG52" s="7">
        <v>0</v>
      </c>
      <c r="AH52" s="7">
        <v>0</v>
      </c>
      <c r="AI52" s="7">
        <v>0</v>
      </c>
      <c r="AJ52" s="7">
        <v>0</v>
      </c>
      <c r="AK52" s="7">
        <v>0</v>
      </c>
      <c r="AL52" s="7">
        <v>0</v>
      </c>
      <c r="AM52" s="7">
        <v>0</v>
      </c>
      <c r="AN52" s="7">
        <v>0</v>
      </c>
      <c r="AO52" s="7">
        <v>0</v>
      </c>
      <c r="AP52" s="7">
        <v>0</v>
      </c>
      <c r="AQ52" s="7">
        <v>0</v>
      </c>
      <c r="AR52" s="7">
        <v>0</v>
      </c>
      <c r="AS52" s="7">
        <v>0</v>
      </c>
      <c r="AT52" s="7">
        <v>1</v>
      </c>
      <c r="AU52" s="7">
        <v>0</v>
      </c>
      <c r="AV52" s="7">
        <v>0</v>
      </c>
      <c r="AW52" s="7">
        <v>0</v>
      </c>
      <c r="AX52" s="7">
        <v>0</v>
      </c>
      <c r="AY52" s="7">
        <v>0</v>
      </c>
      <c r="AZ52" s="7">
        <v>0</v>
      </c>
      <c r="BA52" s="7">
        <v>1</v>
      </c>
      <c r="BB52" s="7">
        <v>0</v>
      </c>
      <c r="BC52" s="7">
        <v>0</v>
      </c>
      <c r="BD52" s="7">
        <v>0</v>
      </c>
      <c r="BE52" s="7">
        <v>0</v>
      </c>
      <c r="BF52" s="7">
        <v>0</v>
      </c>
      <c r="BG52" s="7">
        <v>0</v>
      </c>
      <c r="BH52" s="7">
        <v>0</v>
      </c>
      <c r="BI52" s="7">
        <v>0</v>
      </c>
      <c r="BJ52" s="7">
        <v>0</v>
      </c>
      <c r="BK52" s="7">
        <v>0</v>
      </c>
      <c r="BL52" s="7">
        <v>0</v>
      </c>
      <c r="BM52" s="7">
        <v>0</v>
      </c>
      <c r="BN52" s="7">
        <v>0</v>
      </c>
      <c r="BO52" s="7">
        <v>0</v>
      </c>
      <c r="BP52" s="7">
        <v>0</v>
      </c>
      <c r="BQ52" s="7">
        <v>0</v>
      </c>
      <c r="BR52" s="7">
        <v>0</v>
      </c>
      <c r="BS52" s="7">
        <v>1</v>
      </c>
      <c r="BT52" s="7">
        <v>0</v>
      </c>
      <c r="BU52" s="7">
        <v>0</v>
      </c>
      <c r="BV52" s="7">
        <v>0</v>
      </c>
      <c r="BW52" s="7"/>
      <c r="BX52" s="7"/>
      <c r="BY52" s="7"/>
      <c r="BZ52" s="7"/>
      <c r="CA52" s="7"/>
      <c r="CB52" s="7"/>
      <c r="CC52" s="7"/>
      <c r="CD52" s="7"/>
      <c r="CE52" s="7"/>
      <c r="CF52" s="7"/>
      <c r="CG52" s="7"/>
      <c r="CH52" s="9">
        <f ca="1">E52</f>
        <v>7</v>
      </c>
    </row>
    <row r="53" spans="4:86" x14ac:dyDescent="0.25">
      <c r="D53" s="9">
        <v>5</v>
      </c>
      <c r="E53" s="9">
        <f t="shared" ca="1" si="21"/>
        <v>5</v>
      </c>
      <c r="F53" s="8">
        <f t="array" aca="1" ref="F53" ca="1">IF(SUM(OFFSET(Factors,VALUE(RIGHT(F$34,2)),1,1,68))=0,"None",SQRT(SUM((OFFSET(Factors,VALUE(RIGHT(F$34,2)),1,1,68)-$R53:$CG53)^2)))</f>
        <v>2.3094010767585034</v>
      </c>
      <c r="G53" s="8">
        <f t="array" aca="1" ref="G53" ca="1">IF(SUM(OFFSET(Factors,VALUE(RIGHT(G$34,2)),1,1,68))=0,"None",SQRT(SUM((OFFSET(Factors,VALUE(RIGHT(G$34,2)),1,1,68)-$R53:$CG53)^2)))</f>
        <v>1.9860625479688307</v>
      </c>
      <c r="H53" s="8">
        <f t="array" aca="1" ref="H53" ca="1">IF(SUM(OFFSET(Factors,VALUE(RIGHT(H$34,2)),1,1,68))=0,"None",SQRT(SUM((OFFSET(Factors,VALUE(RIGHT(H$34,2)),1,1,68)-$R53:$CG53)^2)))</f>
        <v>2.5922962793631443</v>
      </c>
      <c r="I53" s="8">
        <f t="array" aca="1" ref="I53" ca="1">IF(SUM(OFFSET(Factors,VALUE(RIGHT(I$34,2)),1,1,68))=0,"None",SQRT(SUM((OFFSET(Factors,VALUE(RIGHT(I$34,2)),1,1,68)-$R53:$CG53)^2)))</f>
        <v>2.4944382578492941</v>
      </c>
      <c r="J53" s="8">
        <f t="array" aca="1" ref="J53" ca="1">IF(SUM(OFFSET(Factors,VALUE(RIGHT(J$34,2)),1,1,68))=0,"None",SQRT(SUM((OFFSET(Factors,VALUE(RIGHT(J$34,2)),1,1,68)-$R53:$CG53)^2)))</f>
        <v>1.6492422502470645</v>
      </c>
      <c r="K53" s="8">
        <f t="array" aca="1" ref="K53" ca="1">IF(SUM(OFFSET(Factors,VALUE(RIGHT(K$34,2)),1,1,68))=0,"None",SQRT(SUM((OFFSET(Factors,VALUE(RIGHT(K$34,2)),1,1,68)-$R53:$CG53)^2)))</f>
        <v>2.6034165586355518</v>
      </c>
      <c r="L53" s="8">
        <f t="array" aca="1" ref="L53" ca="1">IF(SUM(OFFSET(Factors,VALUE(RIGHT(L$34,2)),1,1,68))=0,"None",SQRT(SUM((OFFSET(Factors,VALUE(RIGHT(L$34,2)),1,1,68)-$R53:$CG53)^2)))</f>
        <v>2.8284271247461903</v>
      </c>
      <c r="M53" s="8">
        <f t="array" aca="1" ref="M53" ca="1">IF(SUM(OFFSET(Factors,VALUE(RIGHT(M$34,2)),1,1,68))=0,"None",SQRT(SUM((OFFSET(Factors,VALUE(RIGHT(M$34,2)),1,1,68)-$R53:$CG53)^2)))</f>
        <v>2.5248762345905194</v>
      </c>
      <c r="N53" s="8">
        <f t="array" aca="1" ref="N53" ca="1">IF(SUM(OFFSET(Factors,VALUE(RIGHT(N$34,2)),1,1,68))=0,"None",SQRT(SUM((OFFSET(Factors,VALUE(RIGHT(N$34,2)),1,1,68)-$R53:$CG53)^2)))</f>
        <v>2.7386127875258306</v>
      </c>
      <c r="O53" s="8">
        <f t="array" aca="1" ref="O53" ca="1">IF(SUM(OFFSET(Factors,VALUE(RIGHT(O$34,2)),1,1,68))=0,"None",SQRT(SUM((OFFSET(Factors,VALUE(RIGHT(O$34,2)),1,1,68)-$R53:$CG53)^2)))</f>
        <v>2.5768197453450252</v>
      </c>
      <c r="Q53" s="18" t="s">
        <v>129</v>
      </c>
      <c r="R53" s="7">
        <v>0</v>
      </c>
      <c r="S53" s="7">
        <v>0</v>
      </c>
      <c r="T53" s="7">
        <v>0</v>
      </c>
      <c r="U53" s="7">
        <v>0</v>
      </c>
      <c r="V53" s="7">
        <v>1</v>
      </c>
      <c r="W53" s="7">
        <v>0</v>
      </c>
      <c r="X53" s="7">
        <v>0</v>
      </c>
      <c r="Y53" s="7">
        <v>0</v>
      </c>
      <c r="Z53" s="7">
        <v>0</v>
      </c>
      <c r="AA53" s="7">
        <v>0</v>
      </c>
      <c r="AB53" s="7">
        <v>0</v>
      </c>
      <c r="AC53" s="7">
        <v>0</v>
      </c>
      <c r="AD53" s="7">
        <v>0</v>
      </c>
      <c r="AE53" s="7">
        <v>0</v>
      </c>
      <c r="AF53" s="7">
        <v>0</v>
      </c>
      <c r="AG53" s="7">
        <v>0</v>
      </c>
      <c r="AH53" s="7">
        <v>0</v>
      </c>
      <c r="AI53" s="7">
        <v>0</v>
      </c>
      <c r="AJ53" s="7">
        <v>0</v>
      </c>
      <c r="AK53" s="7">
        <v>0</v>
      </c>
      <c r="AL53" s="7">
        <v>0</v>
      </c>
      <c r="AM53" s="7">
        <v>0</v>
      </c>
      <c r="AN53" s="7">
        <v>0</v>
      </c>
      <c r="AO53" s="7">
        <v>0</v>
      </c>
      <c r="AP53" s="7">
        <v>0</v>
      </c>
      <c r="AQ53" s="7">
        <v>0</v>
      </c>
      <c r="AR53" s="7">
        <v>0</v>
      </c>
      <c r="AS53" s="7">
        <v>1</v>
      </c>
      <c r="AT53" s="7">
        <v>0</v>
      </c>
      <c r="AU53" s="7">
        <v>0</v>
      </c>
      <c r="AV53" s="7">
        <v>0</v>
      </c>
      <c r="AW53" s="7">
        <v>0</v>
      </c>
      <c r="AX53" s="7">
        <v>0</v>
      </c>
      <c r="AY53" s="7">
        <v>0</v>
      </c>
      <c r="AZ53" s="7">
        <v>0</v>
      </c>
      <c r="BA53" s="7">
        <v>0</v>
      </c>
      <c r="BB53" s="7">
        <v>0</v>
      </c>
      <c r="BC53" s="7">
        <v>0</v>
      </c>
      <c r="BD53" s="7">
        <v>0</v>
      </c>
      <c r="BE53" s="7">
        <v>0</v>
      </c>
      <c r="BF53" s="7">
        <v>0</v>
      </c>
      <c r="BG53" s="7">
        <v>1</v>
      </c>
      <c r="BH53" s="7">
        <v>0</v>
      </c>
      <c r="BI53" s="7">
        <v>0</v>
      </c>
      <c r="BJ53" s="7">
        <v>0</v>
      </c>
      <c r="BK53" s="7">
        <v>0</v>
      </c>
      <c r="BL53" s="7">
        <v>0</v>
      </c>
      <c r="BM53" s="7">
        <v>0</v>
      </c>
      <c r="BN53" s="7">
        <v>0</v>
      </c>
      <c r="BO53" s="7">
        <v>0</v>
      </c>
      <c r="BP53" s="7">
        <v>1</v>
      </c>
      <c r="BQ53" s="7">
        <v>0</v>
      </c>
      <c r="BR53" s="7">
        <v>0</v>
      </c>
      <c r="BS53" s="7">
        <v>0</v>
      </c>
      <c r="BT53" s="7">
        <v>0</v>
      </c>
      <c r="BU53" s="7">
        <v>0</v>
      </c>
      <c r="BV53" s="7">
        <v>0</v>
      </c>
      <c r="BW53" s="7"/>
      <c r="BX53" s="7"/>
      <c r="BY53" s="7"/>
      <c r="BZ53" s="7"/>
      <c r="CA53" s="7"/>
      <c r="CB53" s="7"/>
      <c r="CC53" s="7"/>
      <c r="CD53" s="7"/>
      <c r="CE53" s="7"/>
      <c r="CF53" s="7"/>
      <c r="CG53" s="7"/>
      <c r="CH53" s="9">
        <f ca="1">E53</f>
        <v>5</v>
      </c>
    </row>
    <row r="54" spans="4:86" x14ac:dyDescent="0.25">
      <c r="D54" s="9">
        <v>7</v>
      </c>
      <c r="E54" s="9">
        <f t="shared" ca="1" si="21"/>
        <v>7</v>
      </c>
      <c r="F54" s="8">
        <f t="array" aca="1" ref="F54" ca="1">IF(SUM(OFFSET(Factors,VALUE(RIGHT(F$34,2)),1,1,68))=0,"None",SQRT(SUM((OFFSET(Factors,VALUE(RIGHT(F$34,2)),1,1,68)-$R54:$CG54)^2)))</f>
        <v>1.8257418583505538</v>
      </c>
      <c r="G54" s="8">
        <f t="array" aca="1" ref="G54" ca="1">IF(SUM(OFFSET(Factors,VALUE(RIGHT(G$34,2)),1,1,68))=0,"None",SQRT(SUM((OFFSET(Factors,VALUE(RIGHT(G$34,2)),1,1,68)-$R54:$CG54)^2)))</f>
        <v>1.9860625479688307</v>
      </c>
      <c r="H54" s="8">
        <f t="array" aca="1" ref="H54" ca="1">IF(SUM(OFFSET(Factors,VALUE(RIGHT(H$34,2)),1,1,68))=0,"None",SQRT(SUM((OFFSET(Factors,VALUE(RIGHT(H$34,2)),1,1,68)-$R54:$CG54)^2)))</f>
        <v>2.2627416997969521</v>
      </c>
      <c r="I54" s="8">
        <f t="array" aca="1" ref="I54" ca="1">IF(SUM(OFFSET(Factors,VALUE(RIGHT(I$34,2)),1,1,68))=0,"None",SQRT(SUM((OFFSET(Factors,VALUE(RIGHT(I$34,2)),1,1,68)-$R54:$CG54)^2)))</f>
        <v>2.4944382578492941</v>
      </c>
      <c r="J54" s="8">
        <f t="array" aca="1" ref="J54" ca="1">IF(SUM(OFFSET(Factors,VALUE(RIGHT(J$34,2)),1,1,68))=0,"None",SQRT(SUM((OFFSET(Factors,VALUE(RIGHT(J$34,2)),1,1,68)-$R54:$CG54)^2)))</f>
        <v>2.078460969082653</v>
      </c>
      <c r="K54" s="8">
        <f t="array" aca="1" ref="K54" ca="1">IF(SUM(OFFSET(Factors,VALUE(RIGHT(K$34,2)),1,1,68))=0,"None",SQRT(SUM((OFFSET(Factors,VALUE(RIGHT(K$34,2)),1,1,68)-$R54:$CG54)^2)))</f>
        <v>2.5385910352879697</v>
      </c>
      <c r="L54" s="8">
        <f t="array" aca="1" ref="L54" ca="1">IF(SUM(OFFSET(Factors,VALUE(RIGHT(L$34,2)),1,1,68))=0,"None",SQRT(SUM((OFFSET(Factors,VALUE(RIGHT(L$34,2)),1,1,68)-$R54:$CG54)^2)))</f>
        <v>0</v>
      </c>
      <c r="M54" s="8">
        <f t="array" aca="1" ref="M54" ca="1">IF(SUM(OFFSET(Factors,VALUE(RIGHT(M$34,2)),1,1,68))=0,"None",SQRT(SUM((OFFSET(Factors,VALUE(RIGHT(M$34,2)),1,1,68)-$R54:$CG54)^2)))</f>
        <v>2.0916500663351889</v>
      </c>
      <c r="N54" s="8">
        <f t="array" aca="1" ref="N54" ca="1">IF(SUM(OFFSET(Factors,VALUE(RIGHT(N$34,2)),1,1,68))=0,"None",SQRT(SUM((OFFSET(Factors,VALUE(RIGHT(N$34,2)),1,1,68)-$R54:$CG54)^2)))</f>
        <v>2.7386127875258306</v>
      </c>
      <c r="O54" s="8">
        <f t="array" aca="1" ref="O54" ca="1">IF(SUM(OFFSET(Factors,VALUE(RIGHT(O$34,2)),1,1,68))=0,"None",SQRT(SUM((OFFSET(Factors,VALUE(RIGHT(O$34,2)),1,1,68)-$R54:$CG54)^2)))</f>
        <v>2.3323807579381204</v>
      </c>
      <c r="Q54" s="18" t="s">
        <v>130</v>
      </c>
      <c r="R54" s="7">
        <v>0</v>
      </c>
      <c r="S54" s="7">
        <v>0</v>
      </c>
      <c r="T54" s="7">
        <v>0</v>
      </c>
      <c r="U54" s="7">
        <v>0</v>
      </c>
      <c r="V54" s="7">
        <v>0</v>
      </c>
      <c r="W54" s="7">
        <v>1</v>
      </c>
      <c r="X54" s="7">
        <v>0</v>
      </c>
      <c r="Y54" s="7">
        <v>0</v>
      </c>
      <c r="Z54" s="7">
        <v>0</v>
      </c>
      <c r="AA54" s="7">
        <v>0</v>
      </c>
      <c r="AB54" s="7">
        <v>0</v>
      </c>
      <c r="AC54" s="7">
        <v>0</v>
      </c>
      <c r="AD54" s="7">
        <v>0</v>
      </c>
      <c r="AE54" s="7">
        <v>0</v>
      </c>
      <c r="AF54" s="7">
        <v>0</v>
      </c>
      <c r="AG54" s="7">
        <v>0</v>
      </c>
      <c r="AH54" s="7">
        <v>0</v>
      </c>
      <c r="AI54" s="7">
        <v>0</v>
      </c>
      <c r="AJ54" s="7">
        <v>0</v>
      </c>
      <c r="AK54" s="7">
        <v>0</v>
      </c>
      <c r="AL54" s="7">
        <v>0</v>
      </c>
      <c r="AM54" s="7">
        <v>0</v>
      </c>
      <c r="AN54" s="7">
        <v>0</v>
      </c>
      <c r="AO54" s="7">
        <v>0</v>
      </c>
      <c r="AP54" s="7">
        <v>0</v>
      </c>
      <c r="AQ54" s="7">
        <v>0</v>
      </c>
      <c r="AR54" s="7">
        <v>0</v>
      </c>
      <c r="AS54" s="7">
        <v>0</v>
      </c>
      <c r="AT54" s="7">
        <v>1</v>
      </c>
      <c r="AU54" s="7">
        <v>0</v>
      </c>
      <c r="AV54" s="7">
        <v>0</v>
      </c>
      <c r="AW54" s="7">
        <v>0</v>
      </c>
      <c r="AX54" s="7">
        <v>0</v>
      </c>
      <c r="AY54" s="7">
        <v>0</v>
      </c>
      <c r="AZ54" s="7">
        <v>0</v>
      </c>
      <c r="BA54" s="7">
        <v>1</v>
      </c>
      <c r="BB54" s="7">
        <v>0</v>
      </c>
      <c r="BC54" s="7">
        <v>0</v>
      </c>
      <c r="BD54" s="7">
        <v>0</v>
      </c>
      <c r="BE54" s="7">
        <v>0</v>
      </c>
      <c r="BF54" s="7">
        <v>0</v>
      </c>
      <c r="BG54" s="7">
        <v>0</v>
      </c>
      <c r="BH54" s="7">
        <v>0</v>
      </c>
      <c r="BI54" s="7">
        <v>0</v>
      </c>
      <c r="BJ54" s="7">
        <v>0</v>
      </c>
      <c r="BK54" s="7">
        <v>0</v>
      </c>
      <c r="BL54" s="7">
        <v>0</v>
      </c>
      <c r="BM54" s="7">
        <v>0</v>
      </c>
      <c r="BN54" s="7">
        <v>0</v>
      </c>
      <c r="BO54" s="7">
        <v>0</v>
      </c>
      <c r="BP54" s="7">
        <v>0</v>
      </c>
      <c r="BQ54" s="7">
        <v>0</v>
      </c>
      <c r="BR54" s="7">
        <v>0</v>
      </c>
      <c r="BS54" s="7">
        <v>1</v>
      </c>
      <c r="BT54" s="7">
        <v>0</v>
      </c>
      <c r="BU54" s="7">
        <v>0</v>
      </c>
      <c r="BV54" s="7">
        <v>0</v>
      </c>
      <c r="BW54" s="7"/>
      <c r="BX54" s="7"/>
      <c r="BY54" s="7"/>
      <c r="BZ54" s="7"/>
      <c r="CA54" s="7"/>
      <c r="CB54" s="7"/>
      <c r="CC54" s="7"/>
      <c r="CD54" s="7"/>
      <c r="CE54" s="7"/>
      <c r="CF54" s="7"/>
      <c r="CG54" s="7"/>
      <c r="CH54" s="9">
        <f ca="1">E54</f>
        <v>7</v>
      </c>
    </row>
    <row r="55" spans="4:86" x14ac:dyDescent="0.25">
      <c r="D55" s="9">
        <v>5</v>
      </c>
      <c r="E55" s="9">
        <f t="shared" ca="1" si="21"/>
        <v>5</v>
      </c>
      <c r="F55" s="8">
        <f t="array" aca="1" ref="F55" ca="1">IF(SUM(OFFSET(Factors,VALUE(RIGHT(F$34,2)),1,1,68))=0,"None",SQRT(SUM((OFFSET(Factors,VALUE(RIGHT(F$34,2)),1,1,68)-$R55:$CG55)^2)))</f>
        <v>2.1602468994692869</v>
      </c>
      <c r="G55" s="8">
        <f t="array" aca="1" ref="G55" ca="1">IF(SUM(OFFSET(Factors,VALUE(RIGHT(G$34,2)),1,1,68))=0,"None",SQRT(SUM((OFFSET(Factors,VALUE(RIGHT(G$34,2)),1,1,68)-$R55:$CG55)^2)))</f>
        <v>2.2236106773543889</v>
      </c>
      <c r="H55" s="8">
        <f t="array" aca="1" ref="H55" ca="1">IF(SUM(OFFSET(Factors,VALUE(RIGHT(H$34,2)),1,1,68))=0,"None",SQRT(SUM((OFFSET(Factors,VALUE(RIGHT(H$34,2)),1,1,68)-$R55:$CG55)^2)))</f>
        <v>2.3494680248941462</v>
      </c>
      <c r="I55" s="8">
        <f t="array" aca="1" ref="I55" ca="1">IF(SUM(OFFSET(Factors,VALUE(RIGHT(I$34,2)),1,1,68))=0,"None",SQRT(SUM((OFFSET(Factors,VALUE(RIGHT(I$34,2)),1,1,68)-$R55:$CG55)^2)))</f>
        <v>2.0548046676563256</v>
      </c>
      <c r="J55" s="8">
        <f t="array" aca="1" ref="J55" ca="1">IF(SUM(OFFSET(Factors,VALUE(RIGHT(J$34,2)),1,1,68))=0,"None",SQRT(SUM((OFFSET(Factors,VALUE(RIGHT(J$34,2)),1,1,68)-$R55:$CG55)^2)))</f>
        <v>1.523154621172782</v>
      </c>
      <c r="K55" s="8">
        <f t="array" aca="1" ref="K55" ca="1">IF(SUM(OFFSET(Factors,VALUE(RIGHT(K$34,2)),1,1,68))=0,"None",SQRT(SUM((OFFSET(Factors,VALUE(RIGHT(K$34,2)),1,1,68)-$R55:$CG55)^2)))</f>
        <v>2.6034165586355518</v>
      </c>
      <c r="L55" s="8">
        <f t="array" aca="1" ref="L55" ca="1">IF(SUM(OFFSET(Factors,VALUE(RIGHT(L$34,2)),1,1,68))=0,"None",SQRT(SUM((OFFSET(Factors,VALUE(RIGHT(L$34,2)),1,1,68)-$R55:$CG55)^2)))</f>
        <v>2.4494897427831779</v>
      </c>
      <c r="M55" s="8">
        <f t="array" aca="1" ref="M55" ca="1">IF(SUM(OFFSET(Factors,VALUE(RIGHT(M$34,2)),1,1,68))=0,"None",SQRT(SUM((OFFSET(Factors,VALUE(RIGHT(M$34,2)),1,1,68)-$R55:$CG55)^2)))</f>
        <v>2.4238399287081647</v>
      </c>
      <c r="N55" s="8">
        <f t="array" aca="1" ref="N55" ca="1">IF(SUM(OFFSET(Factors,VALUE(RIGHT(N$34,2)),1,1,68))=0,"None",SQRT(SUM((OFFSET(Factors,VALUE(RIGHT(N$34,2)),1,1,68)-$R55:$CG55)^2)))</f>
        <v>2.7386127875258306</v>
      </c>
      <c r="O55" s="8">
        <f t="array" aca="1" ref="O55" ca="1">IF(SUM(OFFSET(Factors,VALUE(RIGHT(O$34,2)),1,1,68))=0,"None",SQRT(SUM((OFFSET(Factors,VALUE(RIGHT(O$34,2)),1,1,68)-$R55:$CG55)^2)))</f>
        <v>2.4166091947189146</v>
      </c>
      <c r="Q55" s="18" t="s">
        <v>131</v>
      </c>
      <c r="R55" s="7">
        <v>0</v>
      </c>
      <c r="S55" s="7">
        <v>0</v>
      </c>
      <c r="T55" s="7">
        <v>0</v>
      </c>
      <c r="U55" s="7">
        <v>0</v>
      </c>
      <c r="V55" s="7">
        <v>0</v>
      </c>
      <c r="W55" s="7">
        <v>1</v>
      </c>
      <c r="X55" s="7">
        <v>0</v>
      </c>
      <c r="Y55" s="7">
        <v>0</v>
      </c>
      <c r="Z55" s="7">
        <v>0</v>
      </c>
      <c r="AA55" s="7">
        <v>0</v>
      </c>
      <c r="AB55" s="7">
        <v>0</v>
      </c>
      <c r="AC55" s="7">
        <v>0</v>
      </c>
      <c r="AD55" s="7">
        <v>0</v>
      </c>
      <c r="AE55" s="7">
        <v>0</v>
      </c>
      <c r="AF55" s="7">
        <v>0</v>
      </c>
      <c r="AG55" s="7">
        <v>0</v>
      </c>
      <c r="AH55" s="7">
        <v>0</v>
      </c>
      <c r="AI55" s="7">
        <v>0</v>
      </c>
      <c r="AJ55" s="7">
        <v>0</v>
      </c>
      <c r="AK55" s="7">
        <v>0</v>
      </c>
      <c r="AL55" s="7">
        <v>0</v>
      </c>
      <c r="AM55" s="7">
        <v>0</v>
      </c>
      <c r="AN55" s="7">
        <v>0</v>
      </c>
      <c r="AO55" s="7">
        <v>0</v>
      </c>
      <c r="AP55" s="7">
        <v>0</v>
      </c>
      <c r="AQ55" s="7">
        <v>0</v>
      </c>
      <c r="AR55" s="7">
        <v>1</v>
      </c>
      <c r="AS55" s="7">
        <v>0</v>
      </c>
      <c r="AT55" s="7">
        <v>0</v>
      </c>
      <c r="AU55" s="7">
        <v>0</v>
      </c>
      <c r="AV55" s="7">
        <v>0</v>
      </c>
      <c r="AW55" s="7">
        <v>0</v>
      </c>
      <c r="AX55" s="7">
        <v>0</v>
      </c>
      <c r="AY55" s="7">
        <v>0</v>
      </c>
      <c r="AZ55" s="7">
        <v>0</v>
      </c>
      <c r="BA55" s="7">
        <v>0</v>
      </c>
      <c r="BB55" s="7">
        <v>0</v>
      </c>
      <c r="BC55" s="7">
        <v>0</v>
      </c>
      <c r="BD55" s="7">
        <v>0</v>
      </c>
      <c r="BE55" s="7">
        <v>0</v>
      </c>
      <c r="BF55" s="7">
        <v>0</v>
      </c>
      <c r="BG55" s="7">
        <v>1</v>
      </c>
      <c r="BH55" s="7">
        <v>0</v>
      </c>
      <c r="BI55" s="7">
        <v>0</v>
      </c>
      <c r="BJ55" s="7">
        <v>0</v>
      </c>
      <c r="BK55" s="7">
        <v>0</v>
      </c>
      <c r="BL55" s="7">
        <v>0</v>
      </c>
      <c r="BM55" s="7">
        <v>0</v>
      </c>
      <c r="BN55" s="7">
        <v>0</v>
      </c>
      <c r="BO55" s="7">
        <v>0</v>
      </c>
      <c r="BP55" s="7">
        <v>1</v>
      </c>
      <c r="BQ55" s="7">
        <v>0</v>
      </c>
      <c r="BR55" s="7">
        <v>0</v>
      </c>
      <c r="BS55" s="7">
        <v>0</v>
      </c>
      <c r="BT55" s="7">
        <v>0</v>
      </c>
      <c r="BU55" s="7">
        <v>0</v>
      </c>
      <c r="BV55" s="7">
        <v>0</v>
      </c>
      <c r="BW55" s="7"/>
      <c r="BX55" s="7"/>
      <c r="BY55" s="7"/>
      <c r="BZ55" s="7"/>
      <c r="CA55" s="7"/>
      <c r="CB55" s="7"/>
      <c r="CC55" s="7"/>
      <c r="CD55" s="7"/>
      <c r="CE55" s="7"/>
      <c r="CF55" s="7"/>
      <c r="CG55" s="7"/>
      <c r="CH55" s="9">
        <f ca="1">E55</f>
        <v>5</v>
      </c>
    </row>
    <row r="56" spans="4:86" x14ac:dyDescent="0.25">
      <c r="D56" s="9">
        <v>2</v>
      </c>
      <c r="E56" s="9">
        <f t="shared" ca="1" si="21"/>
        <v>2</v>
      </c>
      <c r="F56" s="8">
        <f t="array" aca="1" ref="F56" ca="1">IF(SUM(OFFSET(Factors,VALUE(RIGHT(F$34,2)),1,1,68))=0,"None",SQRT(SUM((OFFSET(Factors,VALUE(RIGHT(F$34,2)),1,1,68)-$R56:$CG56)^2)))</f>
        <v>2.1602468994692869</v>
      </c>
      <c r="G56" s="8">
        <f t="array" aca="1" ref="G56" ca="1">IF(SUM(OFFSET(Factors,VALUE(RIGHT(G$34,2)),1,1,68))=0,"None",SQRT(SUM((OFFSET(Factors,VALUE(RIGHT(G$34,2)),1,1,68)-$R56:$CG56)^2)))</f>
        <v>1.9002923751652301</v>
      </c>
      <c r="H56" s="8">
        <f t="array" aca="1" ref="H56" ca="1">IF(SUM(OFFSET(Factors,VALUE(RIGHT(H$34,2)),1,1,68))=0,"None",SQRT(SUM((OFFSET(Factors,VALUE(RIGHT(H$34,2)),1,1,68)-$R56:$CG56)^2)))</f>
        <v>2.6683328128252666</v>
      </c>
      <c r="I56" s="8">
        <f t="array" aca="1" ref="I56" ca="1">IF(SUM(OFFSET(Factors,VALUE(RIGHT(I$34,2)),1,1,68))=0,"None",SQRT(SUM((OFFSET(Factors,VALUE(RIGHT(I$34,2)),1,1,68)-$R56:$CG56)^2)))</f>
        <v>2.3570226039551581</v>
      </c>
      <c r="J56" s="8">
        <f t="array" aca="1" ref="J56" ca="1">IF(SUM(OFFSET(Factors,VALUE(RIGHT(J$34,2)),1,1,68))=0,"None",SQRT(SUM((OFFSET(Factors,VALUE(RIGHT(J$34,2)),1,1,68)-$R56:$CG56)^2)))</f>
        <v>2.1725560982400434</v>
      </c>
      <c r="K56" s="8">
        <f t="array" aca="1" ref="K56" ca="1">IF(SUM(OFFSET(Factors,VALUE(RIGHT(K$34,2)),1,1,68))=0,"None",SQRT(SUM((OFFSET(Factors,VALUE(RIGHT(K$34,2)),1,1,68)-$R56:$CG56)^2)))</f>
        <v>2.6034165586355513</v>
      </c>
      <c r="L56" s="8">
        <f t="array" aca="1" ref="L56" ca="1">IF(SUM(OFFSET(Factors,VALUE(RIGHT(L$34,2)),1,1,68))=0,"None",SQRT(SUM((OFFSET(Factors,VALUE(RIGHT(L$34,2)),1,1,68)-$R56:$CG56)^2)))</f>
        <v>2.4494897427831779</v>
      </c>
      <c r="M56" s="8">
        <f t="array" aca="1" ref="M56" ca="1">IF(SUM(OFFSET(Factors,VALUE(RIGHT(M$34,2)),1,1,68))=0,"None",SQRT(SUM((OFFSET(Factors,VALUE(RIGHT(M$34,2)),1,1,68)-$R56:$CG56)^2)))</f>
        <v>2.5248762345905194</v>
      </c>
      <c r="N56" s="8">
        <f t="array" aca="1" ref="N56" ca="1">IF(SUM(OFFSET(Factors,VALUE(RIGHT(N$34,2)),1,1,68))=0,"None",SQRT(SUM((OFFSET(Factors,VALUE(RIGHT(N$34,2)),1,1,68)-$R56:$CG56)^2)))</f>
        <v>2.7386127875258306</v>
      </c>
      <c r="O56" s="8">
        <f t="array" aca="1" ref="O56" ca="1">IF(SUM(OFFSET(Factors,VALUE(RIGHT(O$34,2)),1,1,68))=0,"None",SQRT(SUM((OFFSET(Factors,VALUE(RIGHT(O$34,2)),1,1,68)-$R56:$CG56)^2)))</f>
        <v>2.4979991993593593</v>
      </c>
      <c r="Q56" s="18" t="s">
        <v>132</v>
      </c>
      <c r="R56" s="7">
        <v>0</v>
      </c>
      <c r="S56" s="7">
        <v>0</v>
      </c>
      <c r="T56" s="7">
        <v>0</v>
      </c>
      <c r="U56" s="7">
        <v>0</v>
      </c>
      <c r="V56" s="7">
        <v>0</v>
      </c>
      <c r="W56" s="7">
        <v>0</v>
      </c>
      <c r="X56" s="7">
        <v>0</v>
      </c>
      <c r="Y56" s="7">
        <v>0</v>
      </c>
      <c r="Z56" s="7">
        <v>0</v>
      </c>
      <c r="AA56" s="7">
        <v>0</v>
      </c>
      <c r="AB56" s="7">
        <v>0</v>
      </c>
      <c r="AC56" s="7">
        <v>0</v>
      </c>
      <c r="AD56" s="7">
        <v>0</v>
      </c>
      <c r="AE56" s="7">
        <v>1</v>
      </c>
      <c r="AF56" s="7">
        <v>0</v>
      </c>
      <c r="AG56" s="7">
        <v>0</v>
      </c>
      <c r="AH56" s="7">
        <v>0</v>
      </c>
      <c r="AI56" s="7">
        <v>0</v>
      </c>
      <c r="AJ56" s="7">
        <v>0</v>
      </c>
      <c r="AK56" s="7">
        <v>0</v>
      </c>
      <c r="AL56" s="7">
        <v>0</v>
      </c>
      <c r="AM56" s="7">
        <v>0</v>
      </c>
      <c r="AN56" s="7">
        <v>0</v>
      </c>
      <c r="AO56" s="7">
        <v>0</v>
      </c>
      <c r="AP56" s="7">
        <v>0</v>
      </c>
      <c r="AQ56" s="7">
        <v>0</v>
      </c>
      <c r="AR56" s="7">
        <v>0</v>
      </c>
      <c r="AS56" s="7">
        <v>0</v>
      </c>
      <c r="AT56" s="7">
        <v>0</v>
      </c>
      <c r="AU56" s="7">
        <v>0</v>
      </c>
      <c r="AV56" s="7">
        <v>0</v>
      </c>
      <c r="AW56" s="7">
        <v>0</v>
      </c>
      <c r="AX56" s="7">
        <v>1</v>
      </c>
      <c r="AY56" s="7">
        <v>0</v>
      </c>
      <c r="AZ56" s="7">
        <v>0</v>
      </c>
      <c r="BA56" s="7">
        <v>1</v>
      </c>
      <c r="BB56" s="7">
        <v>0</v>
      </c>
      <c r="BC56" s="7">
        <v>0</v>
      </c>
      <c r="BD56" s="7">
        <v>0</v>
      </c>
      <c r="BE56" s="7">
        <v>0</v>
      </c>
      <c r="BF56" s="7">
        <v>0</v>
      </c>
      <c r="BG56" s="7">
        <v>0</v>
      </c>
      <c r="BH56" s="7">
        <v>0</v>
      </c>
      <c r="BI56" s="7">
        <v>0</v>
      </c>
      <c r="BJ56" s="7">
        <v>0</v>
      </c>
      <c r="BK56" s="7">
        <v>0</v>
      </c>
      <c r="BL56" s="7">
        <v>0</v>
      </c>
      <c r="BM56" s="7">
        <v>0</v>
      </c>
      <c r="BN56" s="7">
        <v>0</v>
      </c>
      <c r="BO56" s="7">
        <v>0</v>
      </c>
      <c r="BP56" s="7">
        <v>0</v>
      </c>
      <c r="BQ56" s="7">
        <v>0</v>
      </c>
      <c r="BR56" s="7">
        <v>0</v>
      </c>
      <c r="BS56" s="7">
        <v>0</v>
      </c>
      <c r="BT56" s="7">
        <v>0</v>
      </c>
      <c r="BU56" s="7">
        <v>0</v>
      </c>
      <c r="BV56" s="7">
        <v>1</v>
      </c>
      <c r="BW56" s="7"/>
      <c r="BX56" s="7"/>
      <c r="BY56" s="7"/>
      <c r="BZ56" s="7"/>
      <c r="CA56" s="7"/>
      <c r="CB56" s="7"/>
      <c r="CC56" s="7"/>
      <c r="CD56" s="7"/>
      <c r="CE56" s="7"/>
      <c r="CF56" s="7"/>
      <c r="CG56" s="7"/>
      <c r="CH56" s="9">
        <f ca="1">E56</f>
        <v>2</v>
      </c>
    </row>
    <row r="57" spans="4:86" x14ac:dyDescent="0.25">
      <c r="D57" s="9">
        <v>8</v>
      </c>
      <c r="E57" s="9">
        <f t="shared" ca="1" si="21"/>
        <v>8</v>
      </c>
      <c r="F57" s="8">
        <f t="array" aca="1" ref="F57" ca="1">IF(SUM(OFFSET(Factors,VALUE(RIGHT(F$34,2)),1,1,68))=0,"None",SQRT(SUM((OFFSET(Factors,VALUE(RIGHT(F$34,2)),1,1,68)-$R57:$CG57)^2)))</f>
        <v>2</v>
      </c>
      <c r="G57" s="8">
        <f t="array" aca="1" ref="G57" ca="1">IF(SUM(OFFSET(Factors,VALUE(RIGHT(G$34,2)),1,1,68))=0,"None",SQRT(SUM((OFFSET(Factors,VALUE(RIGHT(G$34,2)),1,1,68)-$R57:$CG57)^2)))</f>
        <v>2.2236106773543889</v>
      </c>
      <c r="H57" s="8">
        <f t="array" aca="1" ref="H57" ca="1">IF(SUM(OFFSET(Factors,VALUE(RIGHT(H$34,2)),1,1,68))=0,"None",SQRT(SUM((OFFSET(Factors,VALUE(RIGHT(H$34,2)),1,1,68)-$R57:$CG57)^2)))</f>
        <v>1.9798989873223332</v>
      </c>
      <c r="I57" s="8">
        <f t="array" aca="1" ref="I57" ca="1">IF(SUM(OFFSET(Factors,VALUE(RIGHT(I$34,2)),1,1,68))=0,"None",SQRT(SUM((OFFSET(Factors,VALUE(RIGHT(I$34,2)),1,1,68)-$R57:$CG57)^2)))</f>
        <v>2.3570226039551581</v>
      </c>
      <c r="J57" s="8">
        <f t="array" aca="1" ref="J57" ca="1">IF(SUM(OFFSET(Factors,VALUE(RIGHT(J$34,2)),1,1,68))=0,"None",SQRT(SUM((OFFSET(Factors,VALUE(RIGHT(J$34,2)),1,1,68)-$R57:$CG57)^2)))</f>
        <v>2.3494680248941462</v>
      </c>
      <c r="K57" s="8">
        <f t="array" aca="1" ref="K57" ca="1">IF(SUM(OFFSET(Factors,VALUE(RIGHT(K$34,2)),1,1,68))=0,"None",SQRT(SUM((OFFSET(Factors,VALUE(RIGHT(K$34,2)),1,1,68)-$R57:$CG57)^2)))</f>
        <v>1.6666666666666667</v>
      </c>
      <c r="L57" s="8">
        <f t="array" aca="1" ref="L57" ca="1">IF(SUM(OFFSET(Factors,VALUE(RIGHT(L$34,2)),1,1,68))=0,"None",SQRT(SUM((OFFSET(Factors,VALUE(RIGHT(L$34,2)),1,1,68)-$R57:$CG57)^2)))</f>
        <v>2.4494897427831779</v>
      </c>
      <c r="M57" s="8">
        <f t="array" aca="1" ref="M57" ca="1">IF(SUM(OFFSET(Factors,VALUE(RIGHT(M$34,2)),1,1,68))=0,"None",SQRT(SUM((OFFSET(Factors,VALUE(RIGHT(M$34,2)),1,1,68)-$R57:$CG57)^2)))</f>
        <v>0.93541434669348533</v>
      </c>
      <c r="N57" s="8">
        <f t="array" aca="1" ref="N57" ca="1">IF(SUM(OFFSET(Factors,VALUE(RIGHT(N$34,2)),1,1,68))=0,"None",SQRT(SUM((OFFSET(Factors,VALUE(RIGHT(N$34,2)),1,1,68)-$R57:$CG57)^2)))</f>
        <v>2.7386127875258306</v>
      </c>
      <c r="O57" s="8">
        <f t="array" aca="1" ref="O57" ca="1">IF(SUM(OFFSET(Factors,VALUE(RIGHT(O$34,2)),1,1,68))=0,"None",SQRT(SUM((OFFSET(Factors,VALUE(RIGHT(O$34,2)),1,1,68)-$R57:$CG57)^2)))</f>
        <v>2.5768197453450252</v>
      </c>
      <c r="Q57" s="18" t="s">
        <v>133</v>
      </c>
      <c r="R57" s="7">
        <v>0</v>
      </c>
      <c r="S57" s="7">
        <v>0</v>
      </c>
      <c r="T57" s="7">
        <v>0</v>
      </c>
      <c r="U57" s="7">
        <v>0</v>
      </c>
      <c r="V57" s="7">
        <v>0</v>
      </c>
      <c r="W57" s="7">
        <v>0</v>
      </c>
      <c r="X57" s="7">
        <v>0</v>
      </c>
      <c r="Y57" s="7">
        <v>1</v>
      </c>
      <c r="Z57" s="7">
        <v>0</v>
      </c>
      <c r="AA57" s="7">
        <v>0</v>
      </c>
      <c r="AB57" s="7">
        <v>0</v>
      </c>
      <c r="AC57" s="7">
        <v>0</v>
      </c>
      <c r="AD57" s="7">
        <v>0</v>
      </c>
      <c r="AE57" s="7">
        <v>0</v>
      </c>
      <c r="AF57" s="7">
        <v>0</v>
      </c>
      <c r="AG57" s="7">
        <v>0</v>
      </c>
      <c r="AH57" s="7">
        <v>0</v>
      </c>
      <c r="AI57" s="7">
        <v>0</v>
      </c>
      <c r="AJ57" s="7">
        <v>0</v>
      </c>
      <c r="AK57" s="7">
        <v>0</v>
      </c>
      <c r="AL57" s="7">
        <v>0</v>
      </c>
      <c r="AM57" s="7">
        <v>0</v>
      </c>
      <c r="AN57" s="7">
        <v>0</v>
      </c>
      <c r="AO57" s="7">
        <v>0</v>
      </c>
      <c r="AP57" s="7">
        <v>0</v>
      </c>
      <c r="AQ57" s="7">
        <v>0</v>
      </c>
      <c r="AR57" s="7">
        <v>0</v>
      </c>
      <c r="AS57" s="7">
        <v>0</v>
      </c>
      <c r="AT57" s="7">
        <v>0</v>
      </c>
      <c r="AU57" s="7">
        <v>0</v>
      </c>
      <c r="AV57" s="7">
        <v>1</v>
      </c>
      <c r="AW57" s="7">
        <v>0</v>
      </c>
      <c r="AX57" s="7">
        <v>0</v>
      </c>
      <c r="AY57" s="7">
        <v>0</v>
      </c>
      <c r="AZ57" s="7">
        <v>1</v>
      </c>
      <c r="BA57" s="7">
        <v>0</v>
      </c>
      <c r="BB57" s="7">
        <v>0</v>
      </c>
      <c r="BC57" s="7">
        <v>0</v>
      </c>
      <c r="BD57" s="7">
        <v>0</v>
      </c>
      <c r="BE57" s="7">
        <v>0</v>
      </c>
      <c r="BF57" s="7">
        <v>0</v>
      </c>
      <c r="BG57" s="7">
        <v>0</v>
      </c>
      <c r="BH57" s="7">
        <v>0</v>
      </c>
      <c r="BI57" s="7">
        <v>0</v>
      </c>
      <c r="BJ57" s="7">
        <v>0</v>
      </c>
      <c r="BK57" s="7">
        <v>0</v>
      </c>
      <c r="BL57" s="7">
        <v>0</v>
      </c>
      <c r="BM57" s="7">
        <v>0</v>
      </c>
      <c r="BN57" s="7">
        <v>0</v>
      </c>
      <c r="BO57" s="7">
        <v>0</v>
      </c>
      <c r="BP57" s="7">
        <v>0</v>
      </c>
      <c r="BQ57" s="7">
        <v>0</v>
      </c>
      <c r="BR57" s="7">
        <v>0</v>
      </c>
      <c r="BS57" s="7">
        <v>1</v>
      </c>
      <c r="BT57" s="7">
        <v>0</v>
      </c>
      <c r="BU57" s="7">
        <v>0</v>
      </c>
      <c r="BV57" s="7">
        <v>0</v>
      </c>
      <c r="BW57" s="7"/>
      <c r="BX57" s="7"/>
      <c r="BY57" s="7"/>
      <c r="BZ57" s="7"/>
      <c r="CA57" s="7"/>
      <c r="CB57" s="7"/>
      <c r="CC57" s="7"/>
      <c r="CD57" s="7"/>
      <c r="CE57" s="7"/>
      <c r="CF57" s="7"/>
      <c r="CG57" s="7"/>
      <c r="CH57" s="9">
        <f ca="1">E57</f>
        <v>8</v>
      </c>
    </row>
    <row r="58" spans="4:86" x14ac:dyDescent="0.25">
      <c r="D58" s="9">
        <v>6</v>
      </c>
      <c r="E58" s="9">
        <f t="shared" ca="1" si="21"/>
        <v>6</v>
      </c>
      <c r="F58" s="8">
        <f t="array" aca="1" ref="F58" ca="1">IF(SUM(OFFSET(Factors,VALUE(RIGHT(F$34,2)),1,1,68))=0,"None",SQRT(SUM((OFFSET(Factors,VALUE(RIGHT(F$34,2)),1,1,68)-$R58:$CG58)^2)))</f>
        <v>2.3094010767585034</v>
      </c>
      <c r="G58" s="8">
        <f t="array" aca="1" ref="G58" ca="1">IF(SUM(OFFSET(Factors,VALUE(RIGHT(G$34,2)),1,1,68))=0,"None",SQRT(SUM((OFFSET(Factors,VALUE(RIGHT(G$34,2)),1,1,68)-$R58:$CG58)^2)))</f>
        <v>2.2236106773543889</v>
      </c>
      <c r="H58" s="8">
        <f t="array" aca="1" ref="H58" ca="1">IF(SUM(OFFSET(Factors,VALUE(RIGHT(H$34,2)),1,1,68))=0,"None",SQRT(SUM((OFFSET(Factors,VALUE(RIGHT(H$34,2)),1,1,68)-$R58:$CG58)^2)))</f>
        <v>1.9798989873223332</v>
      </c>
      <c r="I58" s="8">
        <f t="array" aca="1" ref="I58" ca="1">IF(SUM(OFFSET(Factors,VALUE(RIGHT(I$34,2)),1,1,68))=0,"None",SQRT(SUM((OFFSET(Factors,VALUE(RIGHT(I$34,2)),1,1,68)-$R58:$CG58)^2)))</f>
        <v>2.3570226039551581</v>
      </c>
      <c r="J58" s="8">
        <f t="array" aca="1" ref="J58" ca="1">IF(SUM(OFFSET(Factors,VALUE(RIGHT(J$34,2)),1,1,68))=0,"None",SQRT(SUM((OFFSET(Factors,VALUE(RIGHT(J$34,2)),1,1,68)-$R58:$CG58)^2)))</f>
        <v>2.3494680248941462</v>
      </c>
      <c r="K58" s="8">
        <f t="array" aca="1" ref="K58" ca="1">IF(SUM(OFFSET(Factors,VALUE(RIGHT(K$34,2)),1,1,68))=0,"None",SQRT(SUM((OFFSET(Factors,VALUE(RIGHT(K$34,2)),1,1,68)-$R58:$CG58)^2)))</f>
        <v>0.88191710368819698</v>
      </c>
      <c r="L58" s="8">
        <f t="array" aca="1" ref="L58" ca="1">IF(SUM(OFFSET(Factors,VALUE(RIGHT(L$34,2)),1,1,68))=0,"None",SQRT(SUM((OFFSET(Factors,VALUE(RIGHT(L$34,2)),1,1,68)-$R58:$CG58)^2)))</f>
        <v>2.8284271247461903</v>
      </c>
      <c r="M58" s="8">
        <f t="array" aca="1" ref="M58" ca="1">IF(SUM(OFFSET(Factors,VALUE(RIGHT(M$34,2)),1,1,68))=0,"None",SQRT(SUM((OFFSET(Factors,VALUE(RIGHT(M$34,2)),1,1,68)-$R58:$CG58)^2)))</f>
        <v>1.3693063937629153</v>
      </c>
      <c r="N58" s="8">
        <f t="array" aca="1" ref="N58" ca="1">IF(SUM(OFFSET(Factors,VALUE(RIGHT(N$34,2)),1,1,68))=0,"None",SQRT(SUM((OFFSET(Factors,VALUE(RIGHT(N$34,2)),1,1,68)-$R58:$CG58)^2)))</f>
        <v>2.7386127875258306</v>
      </c>
      <c r="O58" s="8">
        <f t="array" aca="1" ref="O58" ca="1">IF(SUM(OFFSET(Factors,VALUE(RIGHT(O$34,2)),1,1,68))=0,"None",SQRT(SUM((OFFSET(Factors,VALUE(RIGHT(O$34,2)),1,1,68)-$R58:$CG58)^2)))</f>
        <v>2.5768197453450252</v>
      </c>
      <c r="Q58" s="18" t="s">
        <v>134</v>
      </c>
      <c r="R58" s="7">
        <v>0</v>
      </c>
      <c r="S58" s="7">
        <v>0</v>
      </c>
      <c r="T58" s="7">
        <v>0</v>
      </c>
      <c r="U58" s="7">
        <v>0</v>
      </c>
      <c r="V58" s="7">
        <v>0</v>
      </c>
      <c r="W58" s="7">
        <v>0</v>
      </c>
      <c r="X58" s="7">
        <v>0</v>
      </c>
      <c r="Y58" s="7">
        <v>1</v>
      </c>
      <c r="Z58" s="7">
        <v>0</v>
      </c>
      <c r="AA58" s="7">
        <v>0</v>
      </c>
      <c r="AB58" s="7">
        <v>0</v>
      </c>
      <c r="AC58" s="7">
        <v>0</v>
      </c>
      <c r="AD58" s="7">
        <v>0</v>
      </c>
      <c r="AE58" s="7">
        <v>0</v>
      </c>
      <c r="AF58" s="7">
        <v>0</v>
      </c>
      <c r="AG58" s="7">
        <v>0</v>
      </c>
      <c r="AH58" s="7">
        <v>0</v>
      </c>
      <c r="AI58" s="7">
        <v>0</v>
      </c>
      <c r="AJ58" s="7">
        <v>0</v>
      </c>
      <c r="AK58" s="7">
        <v>0</v>
      </c>
      <c r="AL58" s="7">
        <v>0</v>
      </c>
      <c r="AM58" s="7">
        <v>0</v>
      </c>
      <c r="AN58" s="7">
        <v>0</v>
      </c>
      <c r="AO58" s="7">
        <v>0</v>
      </c>
      <c r="AP58" s="7">
        <v>0</v>
      </c>
      <c r="AQ58" s="7">
        <v>0</v>
      </c>
      <c r="AR58" s="7">
        <v>0</v>
      </c>
      <c r="AS58" s="7">
        <v>0</v>
      </c>
      <c r="AT58" s="7">
        <v>0</v>
      </c>
      <c r="AU58" s="7">
        <v>0</v>
      </c>
      <c r="AV58" s="7">
        <v>1</v>
      </c>
      <c r="AW58" s="7">
        <v>0</v>
      </c>
      <c r="AX58" s="7">
        <v>0</v>
      </c>
      <c r="AY58" s="7">
        <v>0</v>
      </c>
      <c r="AZ58" s="7">
        <v>1</v>
      </c>
      <c r="BA58" s="7">
        <v>0</v>
      </c>
      <c r="BB58" s="7">
        <v>0</v>
      </c>
      <c r="BC58" s="7">
        <v>0</v>
      </c>
      <c r="BD58" s="7">
        <v>0</v>
      </c>
      <c r="BE58" s="7">
        <v>0</v>
      </c>
      <c r="BF58" s="7">
        <v>0</v>
      </c>
      <c r="BG58" s="7">
        <v>0</v>
      </c>
      <c r="BH58" s="7">
        <v>0</v>
      </c>
      <c r="BI58" s="7">
        <v>0</v>
      </c>
      <c r="BJ58" s="7">
        <v>0</v>
      </c>
      <c r="BK58" s="7">
        <v>0</v>
      </c>
      <c r="BL58" s="7">
        <v>0</v>
      </c>
      <c r="BM58" s="7">
        <v>0</v>
      </c>
      <c r="BN58" s="7">
        <v>0</v>
      </c>
      <c r="BO58" s="7">
        <v>0</v>
      </c>
      <c r="BP58" s="7">
        <v>0</v>
      </c>
      <c r="BQ58" s="7">
        <v>0</v>
      </c>
      <c r="BR58" s="7">
        <v>0</v>
      </c>
      <c r="BS58" s="7">
        <v>0</v>
      </c>
      <c r="BT58" s="7">
        <v>1</v>
      </c>
      <c r="BU58" s="7">
        <v>0</v>
      </c>
      <c r="BV58" s="7">
        <v>0</v>
      </c>
      <c r="BW58" s="7"/>
      <c r="BX58" s="7"/>
      <c r="BY58" s="7"/>
      <c r="BZ58" s="7"/>
      <c r="CA58" s="7"/>
      <c r="CB58" s="7"/>
      <c r="CC58" s="7"/>
      <c r="CD58" s="7"/>
      <c r="CE58" s="7"/>
      <c r="CF58" s="7"/>
      <c r="CG58" s="7"/>
      <c r="CH58" s="9">
        <f ca="1">E58</f>
        <v>6</v>
      </c>
    </row>
    <row r="59" spans="4:86" x14ac:dyDescent="0.25">
      <c r="D59" s="9">
        <v>1</v>
      </c>
      <c r="E59" s="9">
        <f t="shared" ca="1" si="21"/>
        <v>1</v>
      </c>
      <c r="F59" s="8">
        <f t="array" aca="1" ref="F59" ca="1">IF(SUM(OFFSET(Factors,VALUE(RIGHT(F$34,2)),1,1,68))=0,"None",SQRT(SUM((OFFSET(Factors,VALUE(RIGHT(F$34,2)),1,1,68)-$R59:$CG59)^2)))</f>
        <v>1.1547005383792517</v>
      </c>
      <c r="G59" s="8">
        <f t="array" aca="1" ref="G59" ca="1">IF(SUM(OFFSET(Factors,VALUE(RIGHT(G$34,2)),1,1,68))=0,"None",SQRT(SUM((OFFSET(Factors,VALUE(RIGHT(G$34,2)),1,1,68)-$R59:$CG59)^2)))</f>
        <v>2.1473497877875207</v>
      </c>
      <c r="H59" s="8">
        <f t="array" aca="1" ref="H59" ca="1">IF(SUM(OFFSET(Factors,VALUE(RIGHT(H$34,2)),1,1,68))=0,"None",SQRT(SUM((OFFSET(Factors,VALUE(RIGHT(H$34,2)),1,1,68)-$R59:$CG59)^2)))</f>
        <v>2.6683328128252666</v>
      </c>
      <c r="I59" s="8">
        <f t="array" aca="1" ref="I59" ca="1">IF(SUM(OFFSET(Factors,VALUE(RIGHT(I$34,2)),1,1,68))=0,"None",SQRT(SUM((OFFSET(Factors,VALUE(RIGHT(I$34,2)),1,1,68)-$R59:$CG59)^2)))</f>
        <v>2.4944382578492941</v>
      </c>
      <c r="J59" s="8">
        <f t="array" aca="1" ref="J59" ca="1">IF(SUM(OFFSET(Factors,VALUE(RIGHT(J$34,2)),1,1,68))=0,"None",SQRT(SUM((OFFSET(Factors,VALUE(RIGHT(J$34,2)),1,1,68)-$R59:$CG59)^2)))</f>
        <v>2.1725560982400434</v>
      </c>
      <c r="K59" s="8">
        <f t="array" aca="1" ref="K59" ca="1">IF(SUM(OFFSET(Factors,VALUE(RIGHT(K$34,2)),1,1,68))=0,"None",SQRT(SUM((OFFSET(Factors,VALUE(RIGHT(K$34,2)),1,1,68)-$R59:$CG59)^2)))</f>
        <v>2.6034165586355513</v>
      </c>
      <c r="L59" s="8">
        <f t="array" aca="1" ref="L59" ca="1">IF(SUM(OFFSET(Factors,VALUE(RIGHT(L$34,2)),1,1,68))=0,"None",SQRT(SUM((OFFSET(Factors,VALUE(RIGHT(L$34,2)),1,1,68)-$R59:$CG59)^2)))</f>
        <v>2</v>
      </c>
      <c r="M59" s="8">
        <f t="array" aca="1" ref="M59" ca="1">IF(SUM(OFFSET(Factors,VALUE(RIGHT(M$34,2)),1,1,68))=0,"None",SQRT(SUM((OFFSET(Factors,VALUE(RIGHT(M$34,2)),1,1,68)-$R59:$CG59)^2)))</f>
        <v>1.9685019685029528</v>
      </c>
      <c r="N59" s="8">
        <f t="array" aca="1" ref="N59" ca="1">IF(SUM(OFFSET(Factors,VALUE(RIGHT(N$34,2)),1,1,68))=0,"None",SQRT(SUM((OFFSET(Factors,VALUE(RIGHT(N$34,2)),1,1,68)-$R59:$CG59)^2)))</f>
        <v>2.5495097567963922</v>
      </c>
      <c r="O59" s="8">
        <f t="array" aca="1" ref="O59" ca="1">IF(SUM(OFFSET(Factors,VALUE(RIGHT(O$34,2)),1,1,68))=0,"None",SQRT(SUM((OFFSET(Factors,VALUE(RIGHT(O$34,2)),1,1,68)-$R59:$CG59)^2)))</f>
        <v>2.4979991993593593</v>
      </c>
      <c r="Q59" s="18" t="s">
        <v>208</v>
      </c>
      <c r="R59" s="7">
        <v>0</v>
      </c>
      <c r="S59" s="7">
        <v>0</v>
      </c>
      <c r="T59" s="7">
        <v>0</v>
      </c>
      <c r="U59" s="7">
        <v>0</v>
      </c>
      <c r="V59" s="7">
        <v>0</v>
      </c>
      <c r="W59" s="7">
        <v>0</v>
      </c>
      <c r="X59" s="7">
        <v>0</v>
      </c>
      <c r="Y59" s="7">
        <v>0</v>
      </c>
      <c r="Z59" s="7">
        <v>0</v>
      </c>
      <c r="AA59" s="7">
        <v>0</v>
      </c>
      <c r="AB59" s="7">
        <v>1</v>
      </c>
      <c r="AC59" s="7">
        <v>0</v>
      </c>
      <c r="AD59" s="7">
        <v>0</v>
      </c>
      <c r="AE59" s="7">
        <v>0</v>
      </c>
      <c r="AF59" s="7">
        <v>0</v>
      </c>
      <c r="AG59" s="7">
        <v>0</v>
      </c>
      <c r="AH59" s="7">
        <v>0</v>
      </c>
      <c r="AI59" s="7">
        <v>0</v>
      </c>
      <c r="AJ59" s="7">
        <v>0</v>
      </c>
      <c r="AK59" s="7">
        <v>0</v>
      </c>
      <c r="AL59" s="7">
        <v>0</v>
      </c>
      <c r="AM59" s="7">
        <v>0</v>
      </c>
      <c r="AN59" s="7">
        <v>0</v>
      </c>
      <c r="AO59" s="7">
        <v>0</v>
      </c>
      <c r="AP59" s="7">
        <v>0</v>
      </c>
      <c r="AQ59" s="7">
        <v>0</v>
      </c>
      <c r="AR59" s="7">
        <v>0</v>
      </c>
      <c r="AS59" s="7">
        <v>0</v>
      </c>
      <c r="AT59" s="7">
        <v>0</v>
      </c>
      <c r="AU59" s="7">
        <v>0</v>
      </c>
      <c r="AV59" s="7">
        <v>0</v>
      </c>
      <c r="AW59" s="7">
        <v>1</v>
      </c>
      <c r="AX59" s="7">
        <v>0</v>
      </c>
      <c r="AY59" s="7">
        <v>0</v>
      </c>
      <c r="AZ59" s="7">
        <v>0</v>
      </c>
      <c r="BA59" s="7">
        <v>1</v>
      </c>
      <c r="BB59" s="7">
        <v>0</v>
      </c>
      <c r="BC59" s="7">
        <v>0</v>
      </c>
      <c r="BD59" s="7">
        <v>0</v>
      </c>
      <c r="BE59" s="7">
        <v>0</v>
      </c>
      <c r="BF59" s="7">
        <v>0</v>
      </c>
      <c r="BG59" s="7">
        <v>0</v>
      </c>
      <c r="BH59" s="7">
        <v>0</v>
      </c>
      <c r="BI59" s="7">
        <v>0</v>
      </c>
      <c r="BJ59" s="7">
        <v>0</v>
      </c>
      <c r="BK59" s="7">
        <v>0</v>
      </c>
      <c r="BL59" s="7">
        <v>0</v>
      </c>
      <c r="BM59" s="7">
        <v>0</v>
      </c>
      <c r="BN59" s="7">
        <v>0</v>
      </c>
      <c r="BO59" s="7">
        <v>0</v>
      </c>
      <c r="BP59" s="7">
        <v>0</v>
      </c>
      <c r="BQ59" s="7">
        <v>0</v>
      </c>
      <c r="BR59" s="7">
        <v>0</v>
      </c>
      <c r="BS59" s="7">
        <v>1</v>
      </c>
      <c r="BT59" s="7">
        <v>0</v>
      </c>
      <c r="BU59" s="7">
        <v>0</v>
      </c>
      <c r="BV59" s="7">
        <v>0</v>
      </c>
      <c r="BW59" s="7"/>
      <c r="BX59" s="7"/>
      <c r="BY59" s="7"/>
      <c r="BZ59" s="7"/>
      <c r="CA59" s="7"/>
      <c r="CB59" s="7"/>
      <c r="CC59" s="7"/>
      <c r="CD59" s="7"/>
      <c r="CE59" s="7"/>
      <c r="CF59" s="7"/>
      <c r="CG59" s="7"/>
      <c r="CH59" s="9">
        <f ca="1">E59</f>
        <v>1</v>
      </c>
    </row>
    <row r="60" spans="4:86" x14ac:dyDescent="0.25">
      <c r="D60" s="9">
        <v>3</v>
      </c>
      <c r="E60" s="9">
        <f t="shared" ca="1" si="21"/>
        <v>3</v>
      </c>
      <c r="F60" s="8">
        <f t="array" aca="1" ref="F60" ca="1">IF(SUM(OFFSET(Factors,VALUE(RIGHT(F$34,2)),1,1,68))=0,"None",SQRT(SUM((OFFSET(Factors,VALUE(RIGHT(F$34,2)),1,1,68)-$R60:$CG60)^2)))</f>
        <v>2.4494897427831779</v>
      </c>
      <c r="G60" s="8">
        <f t="array" aca="1" ref="G60" ca="1">IF(SUM(OFFSET(Factors,VALUE(RIGHT(G$34,2)),1,1,68))=0,"None",SQRT(SUM((OFFSET(Factors,VALUE(RIGHT(G$34,2)),1,1,68)-$R60:$CG60)^2)))</f>
        <v>1.9002923751652299</v>
      </c>
      <c r="H60" s="8">
        <f t="array" aca="1" ref="H60" ca="1">IF(SUM(OFFSET(Factors,VALUE(RIGHT(H$34,2)),1,1,68))=0,"None",SQRT(SUM((OFFSET(Factors,VALUE(RIGHT(H$34,2)),1,1,68)-$R60:$CG60)^2)))</f>
        <v>1.0583005244258363</v>
      </c>
      <c r="I60" s="8">
        <f t="array" aca="1" ref="I60" ca="1">IF(SUM(OFFSET(Factors,VALUE(RIGHT(I$34,2)),1,1,68))=0,"None",SQRT(SUM((OFFSET(Factors,VALUE(RIGHT(I$34,2)),1,1,68)-$R60:$CG60)^2)))</f>
        <v>2.3570226039551581</v>
      </c>
      <c r="J60" s="8">
        <f t="array" aca="1" ref="J60" ca="1">IF(SUM(OFFSET(Factors,VALUE(RIGHT(J$34,2)),1,1,68))=0,"None",SQRT(SUM((OFFSET(Factors,VALUE(RIGHT(J$34,2)),1,1,68)-$R60:$CG60)^2)))</f>
        <v>2.1725560982400434</v>
      </c>
      <c r="K60" s="8">
        <f t="array" aca="1" ref="K60" ca="1">IF(SUM(OFFSET(Factors,VALUE(RIGHT(K$34,2)),1,1,68))=0,"None",SQRT(SUM((OFFSET(Factors,VALUE(RIGHT(K$34,2)),1,1,68)-$R60:$CG60)^2)))</f>
        <v>2.2607766610417559</v>
      </c>
      <c r="L60" s="8">
        <f t="array" aca="1" ref="L60" ca="1">IF(SUM(OFFSET(Factors,VALUE(RIGHT(L$34,2)),1,1,68))=0,"None",SQRT(SUM((OFFSET(Factors,VALUE(RIGHT(L$34,2)),1,1,68)-$R60:$CG60)^2)))</f>
        <v>2.4494897427831779</v>
      </c>
      <c r="M60" s="8">
        <f t="array" aca="1" ref="M60" ca="1">IF(SUM(OFFSET(Factors,VALUE(RIGHT(M$34,2)),1,1,68))=0,"None",SQRT(SUM((OFFSET(Factors,VALUE(RIGHT(M$34,2)),1,1,68)-$R60:$CG60)^2)))</f>
        <v>1.9685019685029528</v>
      </c>
      <c r="N60" s="8">
        <f t="array" aca="1" ref="N60" ca="1">IF(SUM(OFFSET(Factors,VALUE(RIGHT(N$34,2)),1,1,68))=0,"None",SQRT(SUM((OFFSET(Factors,VALUE(RIGHT(N$34,2)),1,1,68)-$R60:$CG60)^2)))</f>
        <v>2.7386127875258306</v>
      </c>
      <c r="O60" s="8">
        <f t="array" aca="1" ref="O60" ca="1">IF(SUM(OFFSET(Factors,VALUE(RIGHT(O$34,2)),1,1,68))=0,"None",SQRT(SUM((OFFSET(Factors,VALUE(RIGHT(O$34,2)),1,1,68)-$R60:$CG60)^2)))</f>
        <v>1.9595917942265426</v>
      </c>
      <c r="Q60" s="18" t="s">
        <v>205</v>
      </c>
      <c r="R60" s="7">
        <v>0</v>
      </c>
      <c r="S60" s="7">
        <v>0</v>
      </c>
      <c r="T60" s="7">
        <v>0</v>
      </c>
      <c r="U60" s="7">
        <v>0</v>
      </c>
      <c r="V60" s="7">
        <v>0</v>
      </c>
      <c r="W60" s="7">
        <v>1</v>
      </c>
      <c r="X60" s="7">
        <v>0</v>
      </c>
      <c r="Y60" s="7">
        <v>0</v>
      </c>
      <c r="Z60" s="7">
        <v>0</v>
      </c>
      <c r="AA60" s="7">
        <v>0</v>
      </c>
      <c r="AB60" s="7">
        <v>0</v>
      </c>
      <c r="AC60" s="7">
        <v>0</v>
      </c>
      <c r="AD60" s="7">
        <v>0</v>
      </c>
      <c r="AE60" s="7">
        <v>0</v>
      </c>
      <c r="AF60" s="7">
        <v>0</v>
      </c>
      <c r="AG60" s="7">
        <v>0</v>
      </c>
      <c r="AH60" s="7">
        <v>0</v>
      </c>
      <c r="AI60" s="7">
        <v>0</v>
      </c>
      <c r="AJ60" s="7">
        <v>0</v>
      </c>
      <c r="AK60" s="7">
        <v>0</v>
      </c>
      <c r="AL60" s="7">
        <v>0</v>
      </c>
      <c r="AM60" s="7">
        <v>0</v>
      </c>
      <c r="AN60" s="7">
        <v>0</v>
      </c>
      <c r="AO60" s="7">
        <v>0</v>
      </c>
      <c r="AP60" s="7">
        <v>0</v>
      </c>
      <c r="AQ60" s="7">
        <v>0</v>
      </c>
      <c r="AR60" s="7">
        <v>0</v>
      </c>
      <c r="AS60" s="7">
        <v>1</v>
      </c>
      <c r="AT60" s="7">
        <v>0</v>
      </c>
      <c r="AU60" s="7">
        <v>0</v>
      </c>
      <c r="AV60" s="7">
        <v>0</v>
      </c>
      <c r="AW60" s="7">
        <v>0</v>
      </c>
      <c r="AX60" s="7">
        <v>0</v>
      </c>
      <c r="AY60" s="7">
        <v>0</v>
      </c>
      <c r="AZ60" s="7">
        <v>1</v>
      </c>
      <c r="BA60" s="7">
        <v>0</v>
      </c>
      <c r="BB60" s="7">
        <v>0</v>
      </c>
      <c r="BC60" s="7">
        <v>0</v>
      </c>
      <c r="BD60" s="7">
        <v>0</v>
      </c>
      <c r="BE60" s="7">
        <v>0</v>
      </c>
      <c r="BF60" s="7">
        <v>0</v>
      </c>
      <c r="BG60" s="7">
        <v>0</v>
      </c>
      <c r="BH60" s="7">
        <v>0</v>
      </c>
      <c r="BI60" s="7">
        <v>0</v>
      </c>
      <c r="BJ60" s="7">
        <v>0</v>
      </c>
      <c r="BK60" s="7">
        <v>0</v>
      </c>
      <c r="BL60" s="7">
        <v>0</v>
      </c>
      <c r="BM60" s="7">
        <v>0</v>
      </c>
      <c r="BN60" s="7">
        <v>0</v>
      </c>
      <c r="BO60" s="7">
        <v>0</v>
      </c>
      <c r="BP60" s="7">
        <v>0</v>
      </c>
      <c r="BQ60" s="7">
        <v>1</v>
      </c>
      <c r="BR60" s="7">
        <v>0</v>
      </c>
      <c r="BS60" s="7">
        <v>0</v>
      </c>
      <c r="BT60" s="7">
        <v>0</v>
      </c>
      <c r="BU60" s="7">
        <v>0</v>
      </c>
      <c r="BV60" s="7">
        <v>0</v>
      </c>
      <c r="BW60" s="7"/>
      <c r="BX60" s="7"/>
      <c r="BY60" s="7"/>
      <c r="BZ60" s="7"/>
      <c r="CA60" s="7"/>
      <c r="CB60" s="7"/>
      <c r="CC60" s="7"/>
      <c r="CD60" s="7"/>
      <c r="CE60" s="7"/>
      <c r="CF60" s="7"/>
      <c r="CG60" s="7"/>
      <c r="CH60" s="9">
        <f ca="1">E60</f>
        <v>3</v>
      </c>
    </row>
    <row r="61" spans="4:86" x14ac:dyDescent="0.25">
      <c r="D61" s="9">
        <v>2</v>
      </c>
      <c r="E61" s="9">
        <f t="shared" ca="1" si="21"/>
        <v>2</v>
      </c>
      <c r="F61" s="8">
        <f t="array" aca="1" ref="F61" ca="1">IF(SUM(OFFSET(Factors,VALUE(RIGHT(F$34,2)),1,1,68))=0,"None",SQRT(SUM((OFFSET(Factors,VALUE(RIGHT(F$34,2)),1,1,68)-$R61:$CG61)^2)))</f>
        <v>2.4494897427831779</v>
      </c>
      <c r="G61" s="8">
        <f t="array" aca="1" ref="G61" ca="1">IF(SUM(OFFSET(Factors,VALUE(RIGHT(G$34,2)),1,1,68))=0,"None",SQRT(SUM((OFFSET(Factors,VALUE(RIGHT(G$34,2)),1,1,68)-$R61:$CG61)^2)))</f>
        <v>1.6158932858054431</v>
      </c>
      <c r="H61" s="8">
        <f t="array" aca="1" ref="H61" ca="1">IF(SUM(OFFSET(Factors,VALUE(RIGHT(H$34,2)),1,1,68))=0,"None",SQRT(SUM((OFFSET(Factors,VALUE(RIGHT(H$34,2)),1,1,68)-$R61:$CG61)^2)))</f>
        <v>2.5922962793631443</v>
      </c>
      <c r="I61" s="8">
        <f t="array" aca="1" ref="I61" ca="1">IF(SUM(OFFSET(Factors,VALUE(RIGHT(I$34,2)),1,1,68))=0,"None",SQRT(SUM((OFFSET(Factors,VALUE(RIGHT(I$34,2)),1,1,68)-$R61:$CG61)^2)))</f>
        <v>2.3570226039551585</v>
      </c>
      <c r="J61" s="8">
        <f t="array" aca="1" ref="J61" ca="1">IF(SUM(OFFSET(Factors,VALUE(RIGHT(J$34,2)),1,1,68))=0,"None",SQRT(SUM((OFFSET(Factors,VALUE(RIGHT(J$34,2)),1,1,68)-$R61:$CG61)^2)))</f>
        <v>2.1725560982400434</v>
      </c>
      <c r="K61" s="8">
        <f t="array" aca="1" ref="K61" ca="1">IF(SUM(OFFSET(Factors,VALUE(RIGHT(K$34,2)),1,1,68))=0,"None",SQRT(SUM((OFFSET(Factors,VALUE(RIGHT(K$34,2)),1,1,68)-$R61:$CG61)^2)))</f>
        <v>2.4720661623652207</v>
      </c>
      <c r="L61" s="8">
        <f t="array" aca="1" ref="L61" ca="1">IF(SUM(OFFSET(Factors,VALUE(RIGHT(L$34,2)),1,1,68))=0,"None",SQRT(SUM((OFFSET(Factors,VALUE(RIGHT(L$34,2)),1,1,68)-$R61:$CG61)^2)))</f>
        <v>2.8284271247461903</v>
      </c>
      <c r="M61" s="8">
        <f t="array" aca="1" ref="M61" ca="1">IF(SUM(OFFSET(Factors,VALUE(RIGHT(M$34,2)),1,1,68))=0,"None",SQRT(SUM((OFFSET(Factors,VALUE(RIGHT(M$34,2)),1,1,68)-$R61:$CG61)^2)))</f>
        <v>2.318404623873926</v>
      </c>
      <c r="N61" s="8">
        <f t="array" aca="1" ref="N61" ca="1">IF(SUM(OFFSET(Factors,VALUE(RIGHT(N$34,2)),1,1,68))=0,"None",SQRT(SUM((OFFSET(Factors,VALUE(RIGHT(N$34,2)),1,1,68)-$R61:$CG61)^2)))</f>
        <v>2.7386127875258306</v>
      </c>
      <c r="O61" s="8">
        <f t="array" aca="1" ref="O61" ca="1">IF(SUM(OFFSET(Factors,VALUE(RIGHT(O$34,2)),1,1,68))=0,"None",SQRT(SUM((OFFSET(Factors,VALUE(RIGHT(O$34,2)),1,1,68)-$R61:$CG61)^2)))</f>
        <v>2.5768197453450252</v>
      </c>
      <c r="Q61" s="18" t="s">
        <v>135</v>
      </c>
      <c r="R61" s="7">
        <v>0</v>
      </c>
      <c r="S61" s="7">
        <v>0</v>
      </c>
      <c r="T61" s="7">
        <v>0</v>
      </c>
      <c r="U61" s="7">
        <v>0</v>
      </c>
      <c r="V61" s="7">
        <v>0</v>
      </c>
      <c r="W61" s="7">
        <v>0</v>
      </c>
      <c r="X61" s="7">
        <v>0</v>
      </c>
      <c r="Y61" s="7">
        <v>1</v>
      </c>
      <c r="Z61" s="7">
        <v>0</v>
      </c>
      <c r="AA61" s="7">
        <v>0</v>
      </c>
      <c r="AB61" s="7">
        <v>0</v>
      </c>
      <c r="AC61" s="7">
        <v>0</v>
      </c>
      <c r="AD61" s="7">
        <v>0</v>
      </c>
      <c r="AE61" s="7">
        <v>0</v>
      </c>
      <c r="AF61" s="7">
        <v>0</v>
      </c>
      <c r="AG61" s="7">
        <v>0</v>
      </c>
      <c r="AH61" s="7">
        <v>0</v>
      </c>
      <c r="AI61" s="7">
        <v>0</v>
      </c>
      <c r="AJ61" s="7">
        <v>0</v>
      </c>
      <c r="AK61" s="7">
        <v>0</v>
      </c>
      <c r="AL61" s="7">
        <v>0</v>
      </c>
      <c r="AM61" s="7">
        <v>0</v>
      </c>
      <c r="AN61" s="7">
        <v>0</v>
      </c>
      <c r="AO61" s="7">
        <v>0</v>
      </c>
      <c r="AP61" s="7">
        <v>0</v>
      </c>
      <c r="AQ61" s="7">
        <v>0</v>
      </c>
      <c r="AR61" s="7">
        <v>0</v>
      </c>
      <c r="AS61" s="7">
        <v>1</v>
      </c>
      <c r="AT61" s="7">
        <v>0</v>
      </c>
      <c r="AU61" s="7">
        <v>0</v>
      </c>
      <c r="AV61" s="7">
        <v>0</v>
      </c>
      <c r="AW61" s="7">
        <v>0</v>
      </c>
      <c r="AX61" s="7">
        <v>0</v>
      </c>
      <c r="AY61" s="7">
        <v>0</v>
      </c>
      <c r="AZ61" s="7">
        <v>0</v>
      </c>
      <c r="BA61" s="7">
        <v>0</v>
      </c>
      <c r="BB61" s="7">
        <v>0</v>
      </c>
      <c r="BC61" s="7">
        <v>0</v>
      </c>
      <c r="BD61" s="7">
        <v>0</v>
      </c>
      <c r="BE61" s="7">
        <v>0</v>
      </c>
      <c r="BF61" s="7">
        <v>1</v>
      </c>
      <c r="BG61" s="7">
        <v>0</v>
      </c>
      <c r="BH61" s="7">
        <v>0</v>
      </c>
      <c r="BI61" s="7">
        <v>0</v>
      </c>
      <c r="BJ61" s="7">
        <v>0</v>
      </c>
      <c r="BK61" s="7">
        <v>0</v>
      </c>
      <c r="BL61" s="7">
        <v>0</v>
      </c>
      <c r="BM61" s="7">
        <v>0</v>
      </c>
      <c r="BN61" s="7">
        <v>1</v>
      </c>
      <c r="BO61" s="7">
        <v>0</v>
      </c>
      <c r="BP61" s="7">
        <v>0</v>
      </c>
      <c r="BQ61" s="7">
        <v>0</v>
      </c>
      <c r="BR61" s="7">
        <v>0</v>
      </c>
      <c r="BS61" s="7">
        <v>0</v>
      </c>
      <c r="BT61" s="7">
        <v>0</v>
      </c>
      <c r="BU61" s="7">
        <v>0</v>
      </c>
      <c r="BV61" s="7">
        <v>0</v>
      </c>
      <c r="BW61" s="7"/>
      <c r="BX61" s="7"/>
      <c r="BY61" s="7"/>
      <c r="BZ61" s="7"/>
      <c r="CA61" s="7"/>
      <c r="CB61" s="7"/>
      <c r="CC61" s="7"/>
      <c r="CD61" s="7"/>
      <c r="CE61" s="7"/>
      <c r="CF61" s="7"/>
      <c r="CG61" s="7"/>
      <c r="CH61" s="9">
        <f ca="1">E61</f>
        <v>2</v>
      </c>
    </row>
    <row r="62" spans="4:86" x14ac:dyDescent="0.25">
      <c r="D62" s="9">
        <v>6</v>
      </c>
      <c r="E62" s="9">
        <f t="shared" ca="1" si="21"/>
        <v>6</v>
      </c>
      <c r="F62" s="8">
        <f t="array" aca="1" ref="F62" ca="1">IF(SUM(OFFSET(Factors,VALUE(RIGHT(F$34,2)),1,1,68))=0,"None",SQRT(SUM((OFFSET(Factors,VALUE(RIGHT(F$34,2)),1,1,68)-$R62:$CG62)^2)))</f>
        <v>2.3094010767585034</v>
      </c>
      <c r="G62" s="8">
        <f t="array" aca="1" ref="G62" ca="1">IF(SUM(OFFSET(Factors,VALUE(RIGHT(G$34,2)),1,1,68))=0,"None",SQRT(SUM((OFFSET(Factors,VALUE(RIGHT(G$34,2)),1,1,68)-$R62:$CG62)^2)))</f>
        <v>2.4381231397212986</v>
      </c>
      <c r="H62" s="8">
        <f t="array" aca="1" ref="H62" ca="1">IF(SUM(OFFSET(Factors,VALUE(RIGHT(H$34,2)),1,1,68))=0,"None",SQRT(SUM((OFFSET(Factors,VALUE(RIGHT(H$34,2)),1,1,68)-$R62:$CG62)^2)))</f>
        <v>1.9798989873223332</v>
      </c>
      <c r="I62" s="8">
        <f t="array" aca="1" ref="I62" ca="1">IF(SUM(OFFSET(Factors,VALUE(RIGHT(I$34,2)),1,1,68))=0,"None",SQRT(SUM((OFFSET(Factors,VALUE(RIGHT(I$34,2)),1,1,68)-$R62:$CG62)^2)))</f>
        <v>2.3570226039551581</v>
      </c>
      <c r="J62" s="8">
        <f t="array" aca="1" ref="J62" ca="1">IF(SUM(OFFSET(Factors,VALUE(RIGHT(J$34,2)),1,1,68))=0,"None",SQRT(SUM((OFFSET(Factors,VALUE(RIGHT(J$34,2)),1,1,68)-$R62:$CG62)^2)))</f>
        <v>2.3494680248941462</v>
      </c>
      <c r="K62" s="8">
        <f t="array" aca="1" ref="K62" ca="1">IF(SUM(OFFSET(Factors,VALUE(RIGHT(K$34,2)),1,1,68))=0,"None",SQRT(SUM((OFFSET(Factors,VALUE(RIGHT(K$34,2)),1,1,68)-$R62:$CG62)^2)))</f>
        <v>0.88191710368819698</v>
      </c>
      <c r="L62" s="8">
        <f t="array" aca="1" ref="L62" ca="1">IF(SUM(OFFSET(Factors,VALUE(RIGHT(L$34,2)),1,1,68))=0,"None",SQRT(SUM((OFFSET(Factors,VALUE(RIGHT(L$34,2)),1,1,68)-$R62:$CG62)^2)))</f>
        <v>2.8284271247461903</v>
      </c>
      <c r="M62" s="8">
        <f t="array" aca="1" ref="M62" ca="1">IF(SUM(OFFSET(Factors,VALUE(RIGHT(M$34,2)),1,1,68))=0,"None",SQRT(SUM((OFFSET(Factors,VALUE(RIGHT(M$34,2)),1,1,68)-$R62:$CG62)^2)))</f>
        <v>1.695582495781317</v>
      </c>
      <c r="N62" s="8">
        <f t="array" aca="1" ref="N62" ca="1">IF(SUM(OFFSET(Factors,VALUE(RIGHT(N$34,2)),1,1,68))=0,"None",SQRT(SUM((OFFSET(Factors,VALUE(RIGHT(N$34,2)),1,1,68)-$R62:$CG62)^2)))</f>
        <v>2.7386127875258306</v>
      </c>
      <c r="O62" s="8">
        <f t="array" aca="1" ref="O62" ca="1">IF(SUM(OFFSET(Factors,VALUE(RIGHT(O$34,2)),1,1,68))=0,"None",SQRT(SUM((OFFSET(Factors,VALUE(RIGHT(O$34,2)),1,1,68)-$R62:$CG62)^2)))</f>
        <v>2.5768197453450252</v>
      </c>
      <c r="Q62" s="18" t="s">
        <v>136</v>
      </c>
      <c r="R62" s="7">
        <v>0</v>
      </c>
      <c r="S62" s="7">
        <v>0</v>
      </c>
      <c r="T62" s="7">
        <v>0</v>
      </c>
      <c r="U62" s="7">
        <v>0</v>
      </c>
      <c r="V62" s="7">
        <v>0</v>
      </c>
      <c r="W62" s="7">
        <v>0</v>
      </c>
      <c r="X62" s="7">
        <v>0</v>
      </c>
      <c r="Y62" s="7">
        <v>0</v>
      </c>
      <c r="Z62" s="7">
        <v>1</v>
      </c>
      <c r="AA62" s="7">
        <v>0</v>
      </c>
      <c r="AB62" s="7">
        <v>0</v>
      </c>
      <c r="AC62" s="7">
        <v>0</v>
      </c>
      <c r="AD62" s="7">
        <v>0</v>
      </c>
      <c r="AE62" s="7">
        <v>0</v>
      </c>
      <c r="AF62" s="7">
        <v>0</v>
      </c>
      <c r="AG62" s="7">
        <v>0</v>
      </c>
      <c r="AH62" s="7">
        <v>0</v>
      </c>
      <c r="AI62" s="7">
        <v>0</v>
      </c>
      <c r="AJ62" s="7">
        <v>0</v>
      </c>
      <c r="AK62" s="7">
        <v>0</v>
      </c>
      <c r="AL62" s="7">
        <v>0</v>
      </c>
      <c r="AM62" s="7">
        <v>0</v>
      </c>
      <c r="AN62" s="7">
        <v>0</v>
      </c>
      <c r="AO62" s="7">
        <v>0</v>
      </c>
      <c r="AP62" s="7">
        <v>0</v>
      </c>
      <c r="AQ62" s="7">
        <v>0</v>
      </c>
      <c r="AR62" s="7">
        <v>0</v>
      </c>
      <c r="AS62" s="7">
        <v>0</v>
      </c>
      <c r="AT62" s="7">
        <v>0</v>
      </c>
      <c r="AU62" s="7">
        <v>0</v>
      </c>
      <c r="AV62" s="7">
        <v>1</v>
      </c>
      <c r="AW62" s="7">
        <v>0</v>
      </c>
      <c r="AX62" s="7">
        <v>0</v>
      </c>
      <c r="AY62" s="7">
        <v>0</v>
      </c>
      <c r="AZ62" s="7">
        <v>1</v>
      </c>
      <c r="BA62" s="7">
        <v>0</v>
      </c>
      <c r="BB62" s="7">
        <v>0</v>
      </c>
      <c r="BC62" s="7">
        <v>0</v>
      </c>
      <c r="BD62" s="7">
        <v>0</v>
      </c>
      <c r="BE62" s="7">
        <v>0</v>
      </c>
      <c r="BF62" s="7">
        <v>0</v>
      </c>
      <c r="BG62" s="7">
        <v>0</v>
      </c>
      <c r="BH62" s="7">
        <v>0</v>
      </c>
      <c r="BI62" s="7">
        <v>0</v>
      </c>
      <c r="BJ62" s="7">
        <v>0</v>
      </c>
      <c r="BK62" s="7">
        <v>0</v>
      </c>
      <c r="BL62" s="7">
        <v>0</v>
      </c>
      <c r="BM62" s="7">
        <v>0</v>
      </c>
      <c r="BN62" s="7">
        <v>0</v>
      </c>
      <c r="BO62" s="7">
        <v>0</v>
      </c>
      <c r="BP62" s="7">
        <v>0</v>
      </c>
      <c r="BQ62" s="7">
        <v>0</v>
      </c>
      <c r="BR62" s="7">
        <v>0</v>
      </c>
      <c r="BS62" s="7">
        <v>0</v>
      </c>
      <c r="BT62" s="7">
        <v>1</v>
      </c>
      <c r="BU62" s="7">
        <v>0</v>
      </c>
      <c r="BV62" s="7">
        <v>0</v>
      </c>
      <c r="BW62" s="7"/>
      <c r="BX62" s="7"/>
      <c r="BY62" s="7"/>
      <c r="BZ62" s="7"/>
      <c r="CA62" s="7"/>
      <c r="CB62" s="7"/>
      <c r="CC62" s="7"/>
      <c r="CD62" s="7"/>
      <c r="CE62" s="7"/>
      <c r="CF62" s="7"/>
      <c r="CG62" s="7"/>
      <c r="CH62" s="9">
        <f ca="1">E62</f>
        <v>6</v>
      </c>
    </row>
    <row r="63" spans="4:86" x14ac:dyDescent="0.25">
      <c r="D63" s="9">
        <v>6</v>
      </c>
      <c r="E63" s="9">
        <f t="shared" ca="1" si="21"/>
        <v>6</v>
      </c>
      <c r="F63" s="8">
        <f t="array" aca="1" ref="F63" ca="1">IF(SUM(OFFSET(Factors,VALUE(RIGHT(F$34,2)),1,1,68))=0,"None",SQRT(SUM((OFFSET(Factors,VALUE(RIGHT(F$34,2)),1,1,68)-$R63:$CG63)^2)))</f>
        <v>2.3094010767585034</v>
      </c>
      <c r="G63" s="8">
        <f t="array" aca="1" ref="G63" ca="1">IF(SUM(OFFSET(Factors,VALUE(RIGHT(G$34,2)),1,1,68))=0,"None",SQRT(SUM((OFFSET(Factors,VALUE(RIGHT(G$34,2)),1,1,68)-$R63:$CG63)^2)))</f>
        <v>2.4381231397212986</v>
      </c>
      <c r="H63" s="8">
        <f t="array" aca="1" ref="H63" ca="1">IF(SUM(OFFSET(Factors,VALUE(RIGHT(H$34,2)),1,1,68))=0,"None",SQRT(SUM((OFFSET(Factors,VALUE(RIGHT(H$34,2)),1,1,68)-$R63:$CG63)^2)))</f>
        <v>2.3494680248941462</v>
      </c>
      <c r="I63" s="8">
        <f t="array" aca="1" ref="I63" ca="1">IF(SUM(OFFSET(Factors,VALUE(RIGHT(I$34,2)),1,1,68))=0,"None",SQRT(SUM((OFFSET(Factors,VALUE(RIGHT(I$34,2)),1,1,68)-$R63:$CG63)^2)))</f>
        <v>2.4944382578492941</v>
      </c>
      <c r="J63" s="8">
        <f t="array" aca="1" ref="J63" ca="1">IF(SUM(OFFSET(Factors,VALUE(RIGHT(J$34,2)),1,1,68))=0,"None",SQRT(SUM((OFFSET(Factors,VALUE(RIGHT(J$34,2)),1,1,68)-$R63:$CG63)^2)))</f>
        <v>2.3494680248941462</v>
      </c>
      <c r="K63" s="8">
        <f t="array" aca="1" ref="K63" ca="1">IF(SUM(OFFSET(Factors,VALUE(RIGHT(K$34,2)),1,1,68))=0,"None",SQRT(SUM((OFFSET(Factors,VALUE(RIGHT(K$34,2)),1,1,68)-$R63:$CG63)^2)))</f>
        <v>1.4529663145135581</v>
      </c>
      <c r="L63" s="8">
        <f t="array" aca="1" ref="L63" ca="1">IF(SUM(OFFSET(Factors,VALUE(RIGHT(L$34,2)),1,1,68))=0,"None",SQRT(SUM((OFFSET(Factors,VALUE(RIGHT(L$34,2)),1,1,68)-$R63:$CG63)^2)))</f>
        <v>2.8284271247461903</v>
      </c>
      <c r="M63" s="8">
        <f t="array" aca="1" ref="M63" ca="1">IF(SUM(OFFSET(Factors,VALUE(RIGHT(M$34,2)),1,1,68))=0,"None",SQRT(SUM((OFFSET(Factors,VALUE(RIGHT(M$34,2)),1,1,68)-$R63:$CG63)^2)))</f>
        <v>2.2079402165819619</v>
      </c>
      <c r="N63" s="8">
        <f t="array" aca="1" ref="N63" ca="1">IF(SUM(OFFSET(Factors,VALUE(RIGHT(N$34,2)),1,1,68))=0,"None",SQRT(SUM((OFFSET(Factors,VALUE(RIGHT(N$34,2)),1,1,68)-$R63:$CG63)^2)))</f>
        <v>2.7386127875258306</v>
      </c>
      <c r="O63" s="8">
        <f t="array" aca="1" ref="O63" ca="1">IF(SUM(OFFSET(Factors,VALUE(RIGHT(O$34,2)),1,1,68))=0,"None",SQRT(SUM((OFFSET(Factors,VALUE(RIGHT(O$34,2)),1,1,68)-$R63:$CG63)^2)))</f>
        <v>2.3323807579381199</v>
      </c>
      <c r="Q63" s="18" t="s">
        <v>137</v>
      </c>
      <c r="R63" s="7">
        <v>0</v>
      </c>
      <c r="S63" s="7">
        <v>0</v>
      </c>
      <c r="T63" s="7">
        <v>0</v>
      </c>
      <c r="U63" s="7">
        <v>0</v>
      </c>
      <c r="V63" s="7">
        <v>0</v>
      </c>
      <c r="W63" s="7">
        <v>0</v>
      </c>
      <c r="X63" s="7">
        <v>1</v>
      </c>
      <c r="Y63" s="7">
        <v>0</v>
      </c>
      <c r="Z63" s="7">
        <v>0</v>
      </c>
      <c r="AA63" s="7">
        <v>0</v>
      </c>
      <c r="AB63" s="7">
        <v>0</v>
      </c>
      <c r="AC63" s="7">
        <v>0</v>
      </c>
      <c r="AD63" s="7">
        <v>0</v>
      </c>
      <c r="AE63" s="7">
        <v>0</v>
      </c>
      <c r="AF63" s="7">
        <v>0</v>
      </c>
      <c r="AG63" s="7">
        <v>0</v>
      </c>
      <c r="AH63" s="7">
        <v>0</v>
      </c>
      <c r="AI63" s="7">
        <v>0</v>
      </c>
      <c r="AJ63" s="7">
        <v>0</v>
      </c>
      <c r="AK63" s="7">
        <v>0</v>
      </c>
      <c r="AL63" s="7">
        <v>0</v>
      </c>
      <c r="AM63" s="7">
        <v>0</v>
      </c>
      <c r="AN63" s="7">
        <v>0</v>
      </c>
      <c r="AO63" s="7">
        <v>0</v>
      </c>
      <c r="AP63" s="7">
        <v>0</v>
      </c>
      <c r="AQ63" s="7">
        <v>0</v>
      </c>
      <c r="AR63" s="7">
        <v>0</v>
      </c>
      <c r="AS63" s="7">
        <v>0</v>
      </c>
      <c r="AT63" s="7">
        <v>0</v>
      </c>
      <c r="AU63" s="7">
        <v>0</v>
      </c>
      <c r="AV63" s="7">
        <v>1</v>
      </c>
      <c r="AW63" s="7">
        <v>0</v>
      </c>
      <c r="AX63" s="7">
        <v>0</v>
      </c>
      <c r="AY63" s="7">
        <v>0</v>
      </c>
      <c r="AZ63" s="7">
        <v>0</v>
      </c>
      <c r="BA63" s="7">
        <v>0</v>
      </c>
      <c r="BB63" s="7">
        <v>1</v>
      </c>
      <c r="BC63" s="7">
        <v>0</v>
      </c>
      <c r="BD63" s="7">
        <v>0</v>
      </c>
      <c r="BE63" s="7">
        <v>0</v>
      </c>
      <c r="BF63" s="7">
        <v>0</v>
      </c>
      <c r="BG63" s="7">
        <v>0</v>
      </c>
      <c r="BH63" s="7">
        <v>0</v>
      </c>
      <c r="BI63" s="7">
        <v>0</v>
      </c>
      <c r="BJ63" s="7">
        <v>0</v>
      </c>
      <c r="BK63" s="7">
        <v>0</v>
      </c>
      <c r="BL63" s="7">
        <v>0</v>
      </c>
      <c r="BM63" s="7">
        <v>0</v>
      </c>
      <c r="BN63" s="7">
        <v>0</v>
      </c>
      <c r="BO63" s="7">
        <v>0</v>
      </c>
      <c r="BP63" s="7">
        <v>0</v>
      </c>
      <c r="BQ63" s="7">
        <v>0</v>
      </c>
      <c r="BR63" s="7">
        <v>0</v>
      </c>
      <c r="BS63" s="7">
        <v>0</v>
      </c>
      <c r="BT63" s="7">
        <v>1</v>
      </c>
      <c r="BU63" s="7">
        <v>0</v>
      </c>
      <c r="BV63" s="7">
        <v>0</v>
      </c>
      <c r="BW63" s="7"/>
      <c r="BX63" s="7"/>
      <c r="BY63" s="7"/>
      <c r="BZ63" s="7"/>
      <c r="CA63" s="7"/>
      <c r="CB63" s="7"/>
      <c r="CC63" s="7"/>
      <c r="CD63" s="7"/>
      <c r="CE63" s="7"/>
      <c r="CF63" s="7"/>
      <c r="CG63" s="7"/>
      <c r="CH63" s="9">
        <f ca="1">E63</f>
        <v>6</v>
      </c>
    </row>
    <row r="64" spans="4:86" x14ac:dyDescent="0.25">
      <c r="D64" s="9">
        <v>2</v>
      </c>
      <c r="E64" s="9">
        <f t="shared" ca="1" si="21"/>
        <v>2</v>
      </c>
      <c r="F64" s="8">
        <f t="array" aca="1" ref="F64" ca="1">IF(SUM(OFFSET(Factors,VALUE(RIGHT(F$34,2)),1,1,68))=0,"None",SQRT(SUM((OFFSET(Factors,VALUE(RIGHT(F$34,2)),1,1,68)-$R64:$CG64)^2)))</f>
        <v>2.1602468994692869</v>
      </c>
      <c r="G64" s="8">
        <f t="array" aca="1" ref="G64" ca="1">IF(SUM(OFFSET(Factors,VALUE(RIGHT(G$34,2)),1,1,68))=0,"None",SQRT(SUM((OFFSET(Factors,VALUE(RIGHT(G$34,2)),1,1,68)-$R64:$CG64)^2)))</f>
        <v>0.97182531580755016</v>
      </c>
      <c r="H64" s="8">
        <f t="array" aca="1" ref="H64" ca="1">IF(SUM(OFFSET(Factors,VALUE(RIGHT(H$34,2)),1,1,68))=0,"None",SQRT(SUM((OFFSET(Factors,VALUE(RIGHT(H$34,2)),1,1,68)-$R64:$CG64)^2)))</f>
        <v>2.5922962793631443</v>
      </c>
      <c r="I64" s="8">
        <f t="array" aca="1" ref="I64" ca="1">IF(SUM(OFFSET(Factors,VALUE(RIGHT(I$34,2)),1,1,68))=0,"None",SQRT(SUM((OFFSET(Factors,VALUE(RIGHT(I$34,2)),1,1,68)-$R64:$CG64)^2)))</f>
        <v>2.3570226039551585</v>
      </c>
      <c r="J64" s="8">
        <f t="array" aca="1" ref="J64" ca="1">IF(SUM(OFFSET(Factors,VALUE(RIGHT(J$34,2)),1,1,68))=0,"None",SQRT(SUM((OFFSET(Factors,VALUE(RIGHT(J$34,2)),1,1,68)-$R64:$CG64)^2)))</f>
        <v>2.078460969082653</v>
      </c>
      <c r="K64" s="8">
        <f t="array" aca="1" ref="K64" ca="1">IF(SUM(OFFSET(Factors,VALUE(RIGHT(K$34,2)),1,1,68))=0,"None",SQRT(SUM((OFFSET(Factors,VALUE(RIGHT(K$34,2)),1,1,68)-$R64:$CG64)^2)))</f>
        <v>2.4720661623652211</v>
      </c>
      <c r="L64" s="8">
        <f t="array" aca="1" ref="L64" ca="1">IF(SUM(OFFSET(Factors,VALUE(RIGHT(L$34,2)),1,1,68))=0,"None",SQRT(SUM((OFFSET(Factors,VALUE(RIGHT(L$34,2)),1,1,68)-$R64:$CG64)^2)))</f>
        <v>2.4494897427831779</v>
      </c>
      <c r="M64" s="8">
        <f t="array" aca="1" ref="M64" ca="1">IF(SUM(OFFSET(Factors,VALUE(RIGHT(M$34,2)),1,1,68))=0,"None",SQRT(SUM((OFFSET(Factors,VALUE(RIGHT(M$34,2)),1,1,68)-$R64:$CG64)^2)))</f>
        <v>2.318404623873926</v>
      </c>
      <c r="N64" s="8">
        <f t="array" aca="1" ref="N64" ca="1">IF(SUM(OFFSET(Factors,VALUE(RIGHT(N$34,2)),1,1,68))=0,"None",SQRT(SUM((OFFSET(Factors,VALUE(RIGHT(N$34,2)),1,1,68)-$R64:$CG64)^2)))</f>
        <v>2.7386127875258306</v>
      </c>
      <c r="O64" s="8">
        <f t="array" aca="1" ref="O64" ca="1">IF(SUM(OFFSET(Factors,VALUE(RIGHT(O$34,2)),1,1,68))=0,"None",SQRT(SUM((OFFSET(Factors,VALUE(RIGHT(O$34,2)),1,1,68)-$R64:$CG64)^2)))</f>
        <v>2.4979991993593593</v>
      </c>
      <c r="Q64" s="18" t="s">
        <v>206</v>
      </c>
      <c r="R64" s="7">
        <v>0</v>
      </c>
      <c r="S64" s="7">
        <v>0</v>
      </c>
      <c r="T64" s="7">
        <v>0</v>
      </c>
      <c r="U64" s="7">
        <v>0</v>
      </c>
      <c r="V64" s="7">
        <v>0</v>
      </c>
      <c r="W64" s="7">
        <v>0</v>
      </c>
      <c r="X64" s="7">
        <v>0</v>
      </c>
      <c r="Y64" s="7">
        <v>1</v>
      </c>
      <c r="Z64" s="7">
        <v>0</v>
      </c>
      <c r="AA64" s="7">
        <v>0</v>
      </c>
      <c r="AB64" s="7">
        <v>0</v>
      </c>
      <c r="AC64" s="7">
        <v>0</v>
      </c>
      <c r="AD64" s="7">
        <v>0</v>
      </c>
      <c r="AE64" s="7">
        <v>0</v>
      </c>
      <c r="AF64" s="7">
        <v>0</v>
      </c>
      <c r="AG64" s="7">
        <v>0</v>
      </c>
      <c r="AH64" s="7">
        <v>0</v>
      </c>
      <c r="AI64" s="7">
        <v>0</v>
      </c>
      <c r="AJ64" s="7">
        <v>0</v>
      </c>
      <c r="AK64" s="7">
        <v>0</v>
      </c>
      <c r="AL64" s="7">
        <v>0</v>
      </c>
      <c r="AM64" s="7">
        <v>0</v>
      </c>
      <c r="AN64" s="7">
        <v>0</v>
      </c>
      <c r="AO64" s="7">
        <v>0</v>
      </c>
      <c r="AP64" s="7">
        <v>0</v>
      </c>
      <c r="AQ64" s="7">
        <v>0</v>
      </c>
      <c r="AR64" s="7">
        <v>0</v>
      </c>
      <c r="AS64" s="7">
        <v>1</v>
      </c>
      <c r="AT64" s="7">
        <v>0</v>
      </c>
      <c r="AU64" s="7">
        <v>0</v>
      </c>
      <c r="AV64" s="7">
        <v>0</v>
      </c>
      <c r="AW64" s="7">
        <v>0</v>
      </c>
      <c r="AX64" s="7">
        <v>0</v>
      </c>
      <c r="AY64" s="7">
        <v>0</v>
      </c>
      <c r="AZ64" s="7">
        <v>0</v>
      </c>
      <c r="BA64" s="7">
        <v>1</v>
      </c>
      <c r="BB64" s="7">
        <v>0</v>
      </c>
      <c r="BC64" s="7">
        <v>0</v>
      </c>
      <c r="BD64" s="7">
        <v>0</v>
      </c>
      <c r="BE64" s="7">
        <v>0</v>
      </c>
      <c r="BF64" s="7">
        <v>0</v>
      </c>
      <c r="BG64" s="7">
        <v>0</v>
      </c>
      <c r="BH64" s="7">
        <v>0</v>
      </c>
      <c r="BI64" s="7">
        <v>0</v>
      </c>
      <c r="BJ64" s="7">
        <v>0</v>
      </c>
      <c r="BK64" s="7">
        <v>0</v>
      </c>
      <c r="BL64" s="7">
        <v>0</v>
      </c>
      <c r="BM64" s="7">
        <v>0</v>
      </c>
      <c r="BN64" s="7">
        <v>0</v>
      </c>
      <c r="BO64" s="7">
        <v>0</v>
      </c>
      <c r="BP64" s="7">
        <v>0</v>
      </c>
      <c r="BQ64" s="7">
        <v>0</v>
      </c>
      <c r="BR64" s="7">
        <v>1</v>
      </c>
      <c r="BS64" s="7">
        <v>0</v>
      </c>
      <c r="BT64" s="7">
        <v>0</v>
      </c>
      <c r="BU64" s="7">
        <v>0</v>
      </c>
      <c r="BV64" s="7">
        <v>0</v>
      </c>
      <c r="BW64" s="7"/>
      <c r="BX64" s="7"/>
      <c r="BY64" s="7"/>
      <c r="BZ64" s="7"/>
      <c r="CA64" s="7"/>
      <c r="CB64" s="7"/>
      <c r="CC64" s="7"/>
      <c r="CD64" s="7"/>
      <c r="CE64" s="7"/>
      <c r="CF64" s="7"/>
      <c r="CG64" s="7"/>
      <c r="CH64" s="9">
        <f ca="1">E64</f>
        <v>2</v>
      </c>
    </row>
    <row r="65" spans="4:86" x14ac:dyDescent="0.25">
      <c r="D65" s="9">
        <v>8</v>
      </c>
      <c r="E65" s="9">
        <f t="shared" ca="1" si="21"/>
        <v>8</v>
      </c>
      <c r="F65" s="8">
        <f t="array" aca="1" ref="F65" ca="1">IF(SUM(OFFSET(Factors,VALUE(RIGHT(F$34,2)),1,1,68))=0,"None",SQRT(SUM((OFFSET(Factors,VALUE(RIGHT(F$34,2)),1,1,68)-$R65:$CG65)^2)))</f>
        <v>2</v>
      </c>
      <c r="G65" s="8">
        <f t="array" aca="1" ref="G65" ca="1">IF(SUM(OFFSET(Factors,VALUE(RIGHT(G$34,2)),1,1,68))=0,"None",SQRT(SUM((OFFSET(Factors,VALUE(RIGHT(G$34,2)),1,1,68)-$R65:$CG65)^2)))</f>
        <v>2.4381231397212986</v>
      </c>
      <c r="H65" s="8">
        <f t="array" aca="1" ref="H65" ca="1">IF(SUM(OFFSET(Factors,VALUE(RIGHT(H$34,2)),1,1,68))=0,"None",SQRT(SUM((OFFSET(Factors,VALUE(RIGHT(H$34,2)),1,1,68)-$R65:$CG65)^2)))</f>
        <v>2.2627416997969521</v>
      </c>
      <c r="I65" s="8">
        <f t="array" aca="1" ref="I65" ca="1">IF(SUM(OFFSET(Factors,VALUE(RIGHT(I$34,2)),1,1,68))=0,"None",SQRT(SUM((OFFSET(Factors,VALUE(RIGHT(I$34,2)),1,1,68)-$R65:$CG65)^2)))</f>
        <v>2.3570226039551581</v>
      </c>
      <c r="J65" s="8">
        <f t="array" aca="1" ref="J65" ca="1">IF(SUM(OFFSET(Factors,VALUE(RIGHT(J$34,2)),1,1,68))=0,"None",SQRT(SUM((OFFSET(Factors,VALUE(RIGHT(J$34,2)),1,1,68)-$R65:$CG65)^2)))</f>
        <v>2.3494680248941462</v>
      </c>
      <c r="K65" s="8">
        <f t="array" aca="1" ref="K65" ca="1">IF(SUM(OFFSET(Factors,VALUE(RIGHT(K$34,2)),1,1,68))=0,"None",SQRT(SUM((OFFSET(Factors,VALUE(RIGHT(K$34,2)),1,1,68)-$R65:$CG65)^2)))</f>
        <v>1.7638342073763935</v>
      </c>
      <c r="L65" s="8">
        <f t="array" aca="1" ref="L65" ca="1">IF(SUM(OFFSET(Factors,VALUE(RIGHT(L$34,2)),1,1,68))=0,"None",SQRT(SUM((OFFSET(Factors,VALUE(RIGHT(L$34,2)),1,1,68)-$R65:$CG65)^2)))</f>
        <v>2.8284271247461903</v>
      </c>
      <c r="M65" s="8">
        <f t="array" aca="1" ref="M65" ca="1">IF(SUM(OFFSET(Factors,VALUE(RIGHT(M$34,2)),1,1,68))=0,"None",SQRT(SUM((OFFSET(Factors,VALUE(RIGHT(M$34,2)),1,1,68)-$R65:$CG65)^2)))</f>
        <v>1.695582495781317</v>
      </c>
      <c r="N65" s="8">
        <f t="array" aca="1" ref="N65" ca="1">IF(SUM(OFFSET(Factors,VALUE(RIGHT(N$34,2)),1,1,68))=0,"None",SQRT(SUM((OFFSET(Factors,VALUE(RIGHT(N$34,2)),1,1,68)-$R65:$CG65)^2)))</f>
        <v>2.5495097567963922</v>
      </c>
      <c r="O65" s="8">
        <f t="array" aca="1" ref="O65" ca="1">IF(SUM(OFFSET(Factors,VALUE(RIGHT(O$34,2)),1,1,68))=0,"None",SQRT(SUM((OFFSET(Factors,VALUE(RIGHT(O$34,2)),1,1,68)-$R65:$CG65)^2)))</f>
        <v>2.5768197453450252</v>
      </c>
      <c r="Q65" s="18" t="s">
        <v>207</v>
      </c>
      <c r="R65" s="7">
        <v>0</v>
      </c>
      <c r="S65" s="7">
        <v>0</v>
      </c>
      <c r="T65" s="7">
        <v>0</v>
      </c>
      <c r="U65" s="7">
        <v>0</v>
      </c>
      <c r="V65" s="7">
        <v>0</v>
      </c>
      <c r="W65" s="7">
        <v>0</v>
      </c>
      <c r="X65" s="7">
        <v>0</v>
      </c>
      <c r="Y65" s="7">
        <v>0</v>
      </c>
      <c r="Z65" s="7">
        <v>0</v>
      </c>
      <c r="AA65" s="7">
        <v>0</v>
      </c>
      <c r="AB65" s="7">
        <v>1</v>
      </c>
      <c r="AC65" s="7">
        <v>0</v>
      </c>
      <c r="AD65" s="7">
        <v>0</v>
      </c>
      <c r="AE65" s="7">
        <v>0</v>
      </c>
      <c r="AF65" s="7">
        <v>0</v>
      </c>
      <c r="AG65" s="7">
        <v>0</v>
      </c>
      <c r="AH65" s="7">
        <v>0</v>
      </c>
      <c r="AI65" s="7">
        <v>0</v>
      </c>
      <c r="AJ65" s="7">
        <v>0</v>
      </c>
      <c r="AK65" s="7">
        <v>0</v>
      </c>
      <c r="AL65" s="7">
        <v>0</v>
      </c>
      <c r="AM65" s="7">
        <v>0</v>
      </c>
      <c r="AN65" s="7">
        <v>0</v>
      </c>
      <c r="AO65" s="7">
        <v>0</v>
      </c>
      <c r="AP65" s="7">
        <v>0</v>
      </c>
      <c r="AQ65" s="7">
        <v>0</v>
      </c>
      <c r="AR65" s="7">
        <v>0</v>
      </c>
      <c r="AS65" s="7">
        <v>0</v>
      </c>
      <c r="AT65" s="7">
        <v>0</v>
      </c>
      <c r="AU65" s="7">
        <v>0</v>
      </c>
      <c r="AV65" s="7">
        <v>0</v>
      </c>
      <c r="AW65" s="7">
        <v>1</v>
      </c>
      <c r="AX65" s="7">
        <v>0</v>
      </c>
      <c r="AY65" s="7">
        <v>0</v>
      </c>
      <c r="AZ65" s="7">
        <v>1</v>
      </c>
      <c r="BA65" s="7">
        <v>0</v>
      </c>
      <c r="BB65" s="7">
        <v>0</v>
      </c>
      <c r="BC65" s="7">
        <v>0</v>
      </c>
      <c r="BD65" s="7">
        <v>0</v>
      </c>
      <c r="BE65" s="7">
        <v>0</v>
      </c>
      <c r="BF65" s="7">
        <v>0</v>
      </c>
      <c r="BG65" s="7">
        <v>0</v>
      </c>
      <c r="BH65" s="7">
        <v>0</v>
      </c>
      <c r="BI65" s="7">
        <v>0</v>
      </c>
      <c r="BJ65" s="7">
        <v>0</v>
      </c>
      <c r="BK65" s="7">
        <v>0</v>
      </c>
      <c r="BL65" s="7">
        <v>0</v>
      </c>
      <c r="BM65" s="7">
        <v>0</v>
      </c>
      <c r="BN65" s="7">
        <v>0</v>
      </c>
      <c r="BO65" s="7">
        <v>0</v>
      </c>
      <c r="BP65" s="7">
        <v>0</v>
      </c>
      <c r="BQ65" s="7">
        <v>0</v>
      </c>
      <c r="BR65" s="7">
        <v>0</v>
      </c>
      <c r="BS65" s="7">
        <v>0</v>
      </c>
      <c r="BT65" s="7">
        <v>1</v>
      </c>
      <c r="BU65" s="7">
        <v>0</v>
      </c>
      <c r="BV65" s="7">
        <v>0</v>
      </c>
      <c r="BW65" s="7"/>
      <c r="BX65" s="7"/>
      <c r="BY65" s="7"/>
      <c r="BZ65" s="7"/>
      <c r="CA65" s="7"/>
      <c r="CB65" s="7"/>
      <c r="CC65" s="7"/>
      <c r="CD65" s="7"/>
      <c r="CE65" s="7"/>
      <c r="CF65" s="7"/>
      <c r="CG65" s="7"/>
      <c r="CH65" s="9">
        <f ca="1">E65</f>
        <v>8</v>
      </c>
    </row>
    <row r="66" spans="4:86" x14ac:dyDescent="0.25">
      <c r="D66" s="9">
        <v>6</v>
      </c>
      <c r="E66" s="9">
        <f t="shared" ca="1" si="21"/>
        <v>6</v>
      </c>
      <c r="F66" s="8">
        <f t="array" aca="1" ref="F66" ca="1">IF(SUM(OFFSET(Factors,VALUE(RIGHT(F$34,2)),1,1,68))=0,"None",SQRT(SUM((OFFSET(Factors,VALUE(RIGHT(F$34,2)),1,1,68)-$R66:$CG66)^2)))</f>
        <v>2.4494897427831779</v>
      </c>
      <c r="G66" s="8">
        <f t="array" aca="1" ref="G66" ca="1">IF(SUM(OFFSET(Factors,VALUE(RIGHT(G$34,2)),1,1,68))=0,"None",SQRT(SUM((OFFSET(Factors,VALUE(RIGHT(G$34,2)),1,1,68)-$R66:$CG66)^2)))</f>
        <v>2.4381231397212986</v>
      </c>
      <c r="H66" s="8">
        <f t="array" aca="1" ref="H66" ca="1">IF(SUM(OFFSET(Factors,VALUE(RIGHT(H$34,2)),1,1,68))=0,"None",SQRT(SUM((OFFSET(Factors,VALUE(RIGHT(H$34,2)),1,1,68)-$R66:$CG66)^2)))</f>
        <v>2.1725560982400434</v>
      </c>
      <c r="I66" s="8">
        <f t="array" aca="1" ref="I66" ca="1">IF(SUM(OFFSET(Factors,VALUE(RIGHT(I$34,2)),1,1,68))=0,"None",SQRT(SUM((OFFSET(Factors,VALUE(RIGHT(I$34,2)),1,1,68)-$R66:$CG66)^2)))</f>
        <v>2.3570226039551581</v>
      </c>
      <c r="J66" s="8">
        <f t="array" aca="1" ref="J66" ca="1">IF(SUM(OFFSET(Factors,VALUE(RIGHT(J$34,2)),1,1,68))=0,"None",SQRT(SUM((OFFSET(Factors,VALUE(RIGHT(J$34,2)),1,1,68)-$R66:$CG66)^2)))</f>
        <v>2.3494680248941462</v>
      </c>
      <c r="K66" s="8">
        <f t="array" aca="1" ref="K66" ca="1">IF(SUM(OFFSET(Factors,VALUE(RIGHT(K$34,2)),1,1,68))=0,"None",SQRT(SUM((OFFSET(Factors,VALUE(RIGHT(K$34,2)),1,1,68)-$R66:$CG66)^2)))</f>
        <v>1.4529663145135578</v>
      </c>
      <c r="L66" s="8">
        <f t="array" aca="1" ref="L66" ca="1">IF(SUM(OFFSET(Factors,VALUE(RIGHT(L$34,2)),1,1,68))=0,"None",SQRT(SUM((OFFSET(Factors,VALUE(RIGHT(L$34,2)),1,1,68)-$R66:$CG66)^2)))</f>
        <v>2.4494897427831779</v>
      </c>
      <c r="M66" s="8">
        <f t="array" aca="1" ref="M66" ca="1">IF(SUM(OFFSET(Factors,VALUE(RIGHT(M$34,2)),1,1,68))=0,"None",SQRT(SUM((OFFSET(Factors,VALUE(RIGHT(M$34,2)),1,1,68)-$R66:$CG66)^2)))</f>
        <v>1.9685019685029528</v>
      </c>
      <c r="N66" s="8">
        <f t="array" aca="1" ref="N66" ca="1">IF(SUM(OFFSET(Factors,VALUE(RIGHT(N$34,2)),1,1,68))=0,"None",SQRT(SUM((OFFSET(Factors,VALUE(RIGHT(N$34,2)),1,1,68)-$R66:$CG66)^2)))</f>
        <v>2.7386127875258306</v>
      </c>
      <c r="O66" s="8">
        <f t="array" aca="1" ref="O66" ca="1">IF(SUM(OFFSET(Factors,VALUE(RIGHT(O$34,2)),1,1,68))=0,"None",SQRT(SUM((OFFSET(Factors,VALUE(RIGHT(O$34,2)),1,1,68)-$R66:$CG66)^2)))</f>
        <v>2.5768197453450252</v>
      </c>
      <c r="Q66" s="18" t="s">
        <v>138</v>
      </c>
      <c r="R66" s="7">
        <v>0</v>
      </c>
      <c r="S66" s="7">
        <v>0</v>
      </c>
      <c r="T66" s="7">
        <v>0</v>
      </c>
      <c r="U66" s="7">
        <v>0</v>
      </c>
      <c r="V66" s="7">
        <v>0</v>
      </c>
      <c r="W66" s="7">
        <v>0</v>
      </c>
      <c r="X66" s="7">
        <v>0</v>
      </c>
      <c r="Y66" s="7">
        <v>0</v>
      </c>
      <c r="Z66" s="7">
        <v>1</v>
      </c>
      <c r="AA66" s="7">
        <v>0</v>
      </c>
      <c r="AB66" s="7">
        <v>0</v>
      </c>
      <c r="AC66" s="7">
        <v>0</v>
      </c>
      <c r="AD66" s="7">
        <v>0</v>
      </c>
      <c r="AE66" s="7">
        <v>0</v>
      </c>
      <c r="AF66" s="7">
        <v>0</v>
      </c>
      <c r="AG66" s="7">
        <v>0</v>
      </c>
      <c r="AH66" s="7">
        <v>0</v>
      </c>
      <c r="AI66" s="7">
        <v>0</v>
      </c>
      <c r="AJ66" s="7">
        <v>0</v>
      </c>
      <c r="AK66" s="7">
        <v>0</v>
      </c>
      <c r="AL66" s="7">
        <v>0</v>
      </c>
      <c r="AM66" s="7">
        <v>0</v>
      </c>
      <c r="AN66" s="7">
        <v>0</v>
      </c>
      <c r="AO66" s="7">
        <v>0</v>
      </c>
      <c r="AP66" s="7">
        <v>0</v>
      </c>
      <c r="AQ66" s="7">
        <v>0</v>
      </c>
      <c r="AR66" s="7">
        <v>0</v>
      </c>
      <c r="AS66" s="7">
        <v>0</v>
      </c>
      <c r="AT66" s="7">
        <v>1</v>
      </c>
      <c r="AU66" s="7">
        <v>0</v>
      </c>
      <c r="AV66" s="7">
        <v>0</v>
      </c>
      <c r="AW66" s="7">
        <v>0</v>
      </c>
      <c r="AX66" s="7">
        <v>0</v>
      </c>
      <c r="AY66" s="7">
        <v>0</v>
      </c>
      <c r="AZ66" s="7">
        <v>1</v>
      </c>
      <c r="BA66" s="7">
        <v>0</v>
      </c>
      <c r="BB66" s="7">
        <v>0</v>
      </c>
      <c r="BC66" s="7">
        <v>0</v>
      </c>
      <c r="BD66" s="7">
        <v>0</v>
      </c>
      <c r="BE66" s="7">
        <v>0</v>
      </c>
      <c r="BF66" s="7">
        <v>0</v>
      </c>
      <c r="BG66" s="7">
        <v>0</v>
      </c>
      <c r="BH66" s="7">
        <v>0</v>
      </c>
      <c r="BI66" s="7">
        <v>0</v>
      </c>
      <c r="BJ66" s="7">
        <v>0</v>
      </c>
      <c r="BK66" s="7">
        <v>0</v>
      </c>
      <c r="BL66" s="7">
        <v>0</v>
      </c>
      <c r="BM66" s="7">
        <v>0</v>
      </c>
      <c r="BN66" s="7">
        <v>0</v>
      </c>
      <c r="BO66" s="7">
        <v>0</v>
      </c>
      <c r="BP66" s="7">
        <v>0</v>
      </c>
      <c r="BQ66" s="7">
        <v>0</v>
      </c>
      <c r="BR66" s="7">
        <v>0</v>
      </c>
      <c r="BS66" s="7">
        <v>0</v>
      </c>
      <c r="BT66" s="7">
        <v>1</v>
      </c>
      <c r="BU66" s="7">
        <v>0</v>
      </c>
      <c r="BV66" s="7">
        <v>0</v>
      </c>
      <c r="BW66" s="7"/>
      <c r="BX66" s="7"/>
      <c r="BY66" s="7"/>
      <c r="BZ66" s="7"/>
      <c r="CA66" s="7"/>
      <c r="CB66" s="7"/>
      <c r="CC66" s="7"/>
      <c r="CD66" s="7"/>
      <c r="CE66" s="7"/>
      <c r="CF66" s="7"/>
      <c r="CG66" s="7"/>
      <c r="CH66" s="9">
        <f ca="1">E66</f>
        <v>6</v>
      </c>
    </row>
    <row r="67" spans="4:86" x14ac:dyDescent="0.25">
      <c r="D67" s="9">
        <v>3</v>
      </c>
      <c r="E67" s="9">
        <f t="shared" ca="1" si="21"/>
        <v>3</v>
      </c>
      <c r="F67" s="8">
        <f t="array" aca="1" ref="F67" ca="1">IF(SUM(OFFSET(Factors,VALUE(RIGHT(F$34,2)),1,1,68))=0,"None",SQRT(SUM((OFFSET(Factors,VALUE(RIGHT(F$34,2)),1,1,68)-$R67:$CG67)^2)))</f>
        <v>2.3094010767585034</v>
      </c>
      <c r="G67" s="8">
        <f t="array" aca="1" ref="G67" ca="1">IF(SUM(OFFSET(Factors,VALUE(RIGHT(G$34,2)),1,1,68))=0,"None",SQRT(SUM((OFFSET(Factors,VALUE(RIGHT(G$34,2)),1,1,68)-$R67:$CG67)^2)))</f>
        <v>2.2973414586817036</v>
      </c>
      <c r="H67" s="8">
        <f t="array" aca="1" ref="H67" ca="1">IF(SUM(OFFSET(Factors,VALUE(RIGHT(H$34,2)),1,1,68))=0,"None",SQRT(SUM((OFFSET(Factors,VALUE(RIGHT(H$34,2)),1,1,68)-$R67:$CG67)^2)))</f>
        <v>0.56568542494923812</v>
      </c>
      <c r="I67" s="8">
        <f t="array" aca="1" ref="I67" ca="1">IF(SUM(OFFSET(Factors,VALUE(RIGHT(I$34,2)),1,1,68))=0,"None",SQRT(SUM((OFFSET(Factors,VALUE(RIGHT(I$34,2)),1,1,68)-$R67:$CG67)^2)))</f>
        <v>2.3570226039551581</v>
      </c>
      <c r="J67" s="8">
        <f t="array" aca="1" ref="J67" ca="1">IF(SUM(OFFSET(Factors,VALUE(RIGHT(J$34,2)),1,1,68))=0,"None",SQRT(SUM((OFFSET(Factors,VALUE(RIGHT(J$34,2)),1,1,68)-$R67:$CG67)^2)))</f>
        <v>2.2627416997969521</v>
      </c>
      <c r="K67" s="8">
        <f t="array" aca="1" ref="K67" ca="1">IF(SUM(OFFSET(Factors,VALUE(RIGHT(K$34,2)),1,1,68))=0,"None",SQRT(SUM((OFFSET(Factors,VALUE(RIGHT(K$34,2)),1,1,68)-$R67:$CG67)^2)))</f>
        <v>1.855921454276674</v>
      </c>
      <c r="L67" s="8">
        <f t="array" aca="1" ref="L67" ca="1">IF(SUM(OFFSET(Factors,VALUE(RIGHT(L$34,2)),1,1,68))=0,"None",SQRT(SUM((OFFSET(Factors,VALUE(RIGHT(L$34,2)),1,1,68)-$R67:$CG67)^2)))</f>
        <v>2.4494897427831779</v>
      </c>
      <c r="M67" s="8">
        <f t="array" aca="1" ref="M67" ca="1">IF(SUM(OFFSET(Factors,VALUE(RIGHT(M$34,2)),1,1,68))=0,"None",SQRT(SUM((OFFSET(Factors,VALUE(RIGHT(M$34,2)),1,1,68)-$R67:$CG67)^2)))</f>
        <v>1.695582495781317</v>
      </c>
      <c r="N67" s="8">
        <f t="array" aca="1" ref="N67" ca="1">IF(SUM(OFFSET(Factors,VALUE(RIGHT(N$34,2)),1,1,68))=0,"None",SQRT(SUM((OFFSET(Factors,VALUE(RIGHT(N$34,2)),1,1,68)-$R67:$CG67)^2)))</f>
        <v>2.7386127875258306</v>
      </c>
      <c r="O67" s="8">
        <f t="array" aca="1" ref="O67" ca="1">IF(SUM(OFFSET(Factors,VALUE(RIGHT(O$34,2)),1,1,68))=0,"None",SQRT(SUM((OFFSET(Factors,VALUE(RIGHT(O$34,2)),1,1,68)-$R67:$CG67)^2)))</f>
        <v>1.9595917942265426</v>
      </c>
      <c r="Q67" s="18" t="s">
        <v>139</v>
      </c>
      <c r="R67" s="7">
        <v>0</v>
      </c>
      <c r="S67" s="7">
        <v>0</v>
      </c>
      <c r="T67" s="7">
        <v>0</v>
      </c>
      <c r="U67" s="7">
        <v>0</v>
      </c>
      <c r="V67" s="7">
        <v>0</v>
      </c>
      <c r="W67" s="7">
        <v>1</v>
      </c>
      <c r="X67" s="7">
        <v>0</v>
      </c>
      <c r="Y67" s="7">
        <v>0</v>
      </c>
      <c r="Z67" s="7">
        <v>0</v>
      </c>
      <c r="AA67" s="7">
        <v>0</v>
      </c>
      <c r="AB67" s="7">
        <v>0</v>
      </c>
      <c r="AC67" s="7">
        <v>0</v>
      </c>
      <c r="AD67" s="7">
        <v>0</v>
      </c>
      <c r="AE67" s="7">
        <v>0</v>
      </c>
      <c r="AF67" s="7">
        <v>0</v>
      </c>
      <c r="AG67" s="7">
        <v>0</v>
      </c>
      <c r="AH67" s="7">
        <v>0</v>
      </c>
      <c r="AI67" s="7">
        <v>0</v>
      </c>
      <c r="AJ67" s="7">
        <v>0</v>
      </c>
      <c r="AK67" s="7">
        <v>0</v>
      </c>
      <c r="AL67" s="7">
        <v>0</v>
      </c>
      <c r="AM67" s="7">
        <v>0</v>
      </c>
      <c r="AN67" s="7">
        <v>0</v>
      </c>
      <c r="AO67" s="7">
        <v>0</v>
      </c>
      <c r="AP67" s="7">
        <v>0</v>
      </c>
      <c r="AQ67" s="7">
        <v>0</v>
      </c>
      <c r="AR67" s="7">
        <v>0</v>
      </c>
      <c r="AS67" s="7">
        <v>0</v>
      </c>
      <c r="AT67" s="7">
        <v>0</v>
      </c>
      <c r="AU67" s="7">
        <v>0</v>
      </c>
      <c r="AV67" s="7">
        <v>1</v>
      </c>
      <c r="AW67" s="7">
        <v>0</v>
      </c>
      <c r="AX67" s="7">
        <v>0</v>
      </c>
      <c r="AY67" s="7">
        <v>0</v>
      </c>
      <c r="AZ67" s="7">
        <v>1</v>
      </c>
      <c r="BA67" s="7">
        <v>0</v>
      </c>
      <c r="BB67" s="7">
        <v>0</v>
      </c>
      <c r="BC67" s="7">
        <v>0</v>
      </c>
      <c r="BD67" s="7">
        <v>0</v>
      </c>
      <c r="BE67" s="7">
        <v>0</v>
      </c>
      <c r="BF67" s="7">
        <v>0</v>
      </c>
      <c r="BG67" s="7">
        <v>0</v>
      </c>
      <c r="BH67" s="7">
        <v>0</v>
      </c>
      <c r="BI67" s="7">
        <v>0</v>
      </c>
      <c r="BJ67" s="7">
        <v>0</v>
      </c>
      <c r="BK67" s="7">
        <v>0</v>
      </c>
      <c r="BL67" s="7">
        <v>0</v>
      </c>
      <c r="BM67" s="7">
        <v>0</v>
      </c>
      <c r="BN67" s="7">
        <v>0</v>
      </c>
      <c r="BO67" s="7">
        <v>0</v>
      </c>
      <c r="BP67" s="7">
        <v>0</v>
      </c>
      <c r="BQ67" s="7">
        <v>1</v>
      </c>
      <c r="BR67" s="7">
        <v>0</v>
      </c>
      <c r="BS67" s="7">
        <v>0</v>
      </c>
      <c r="BT67" s="7">
        <v>0</v>
      </c>
      <c r="BU67" s="7">
        <v>0</v>
      </c>
      <c r="BV67" s="7">
        <v>0</v>
      </c>
      <c r="BW67" s="7"/>
      <c r="BX67" s="7"/>
      <c r="BY67" s="7"/>
      <c r="BZ67" s="7"/>
      <c r="CA67" s="7"/>
      <c r="CB67" s="7"/>
      <c r="CC67" s="7"/>
      <c r="CD67" s="7"/>
      <c r="CE67" s="7"/>
      <c r="CF67" s="7"/>
      <c r="CG67" s="7"/>
      <c r="CH67" s="9">
        <f ca="1">E67</f>
        <v>3</v>
      </c>
    </row>
    <row r="68" spans="4:86" x14ac:dyDescent="0.25">
      <c r="D68" s="9">
        <v>3</v>
      </c>
      <c r="E68" s="9">
        <f t="shared" ca="1" si="21"/>
        <v>3</v>
      </c>
      <c r="F68" s="8">
        <f t="array" aca="1" ref="F68" ca="1">IF(SUM(OFFSET(Factors,VALUE(RIGHT(F$34,2)),1,1,68))=0,"None",SQRT(SUM((OFFSET(Factors,VALUE(RIGHT(F$34,2)),1,1,68)-$R68:$CG68)^2)))</f>
        <v>2.3094010767585034</v>
      </c>
      <c r="G68" s="8">
        <f t="array" aca="1" ref="G68" ca="1">IF(SUM(OFFSET(Factors,VALUE(RIGHT(G$34,2)),1,1,68))=0,"None",SQRT(SUM((OFFSET(Factors,VALUE(RIGHT(G$34,2)),1,1,68)-$R68:$CG68)^2)))</f>
        <v>2.2973414586817036</v>
      </c>
      <c r="H68" s="8">
        <f t="array" aca="1" ref="H68" ca="1">IF(SUM(OFFSET(Factors,VALUE(RIGHT(H$34,2)),1,1,68))=0,"None",SQRT(SUM((OFFSET(Factors,VALUE(RIGHT(H$34,2)),1,1,68)-$R68:$CG68)^2)))</f>
        <v>0.56568542494923812</v>
      </c>
      <c r="I68" s="8">
        <f t="array" aca="1" ref="I68" ca="1">IF(SUM(OFFSET(Factors,VALUE(RIGHT(I$34,2)),1,1,68))=0,"None",SQRT(SUM((OFFSET(Factors,VALUE(RIGHT(I$34,2)),1,1,68)-$R68:$CG68)^2)))</f>
        <v>2.3570226039551581</v>
      </c>
      <c r="J68" s="8">
        <f t="array" aca="1" ref="J68" ca="1">IF(SUM(OFFSET(Factors,VALUE(RIGHT(J$34,2)),1,1,68))=0,"None",SQRT(SUM((OFFSET(Factors,VALUE(RIGHT(J$34,2)),1,1,68)-$R68:$CG68)^2)))</f>
        <v>2.2627416997969521</v>
      </c>
      <c r="K68" s="8">
        <f t="array" aca="1" ref="K68" ca="1">IF(SUM(OFFSET(Factors,VALUE(RIGHT(K$34,2)),1,1,68))=0,"None",SQRT(SUM((OFFSET(Factors,VALUE(RIGHT(K$34,2)),1,1,68)-$R68:$CG68)^2)))</f>
        <v>1.855921454276674</v>
      </c>
      <c r="L68" s="8">
        <f t="array" aca="1" ref="L68" ca="1">IF(SUM(OFFSET(Factors,VALUE(RIGHT(L$34,2)),1,1,68))=0,"None",SQRT(SUM((OFFSET(Factors,VALUE(RIGHT(L$34,2)),1,1,68)-$R68:$CG68)^2)))</f>
        <v>2.4494897427831779</v>
      </c>
      <c r="M68" s="8">
        <f t="array" aca="1" ref="M68" ca="1">IF(SUM(OFFSET(Factors,VALUE(RIGHT(M$34,2)),1,1,68))=0,"None",SQRT(SUM((OFFSET(Factors,VALUE(RIGHT(M$34,2)),1,1,68)-$R68:$CG68)^2)))</f>
        <v>1.695582495781317</v>
      </c>
      <c r="N68" s="8">
        <f t="array" aca="1" ref="N68" ca="1">IF(SUM(OFFSET(Factors,VALUE(RIGHT(N$34,2)),1,1,68))=0,"None",SQRT(SUM((OFFSET(Factors,VALUE(RIGHT(N$34,2)),1,1,68)-$R68:$CG68)^2)))</f>
        <v>2.7386127875258306</v>
      </c>
      <c r="O68" s="8">
        <f t="array" aca="1" ref="O68" ca="1">IF(SUM(OFFSET(Factors,VALUE(RIGHT(O$34,2)),1,1,68))=0,"None",SQRT(SUM((OFFSET(Factors,VALUE(RIGHT(O$34,2)),1,1,68)-$R68:$CG68)^2)))</f>
        <v>1.9595917942265426</v>
      </c>
      <c r="Q68" s="18" t="s">
        <v>140</v>
      </c>
      <c r="R68" s="7">
        <v>0</v>
      </c>
      <c r="S68" s="7">
        <v>0</v>
      </c>
      <c r="T68" s="7">
        <v>0</v>
      </c>
      <c r="U68" s="7">
        <v>0</v>
      </c>
      <c r="V68" s="7">
        <v>0</v>
      </c>
      <c r="W68" s="7">
        <v>1</v>
      </c>
      <c r="X68" s="7">
        <v>0</v>
      </c>
      <c r="Y68" s="7">
        <v>0</v>
      </c>
      <c r="Z68" s="7">
        <v>0</v>
      </c>
      <c r="AA68" s="7">
        <v>0</v>
      </c>
      <c r="AB68" s="7">
        <v>0</v>
      </c>
      <c r="AC68" s="7">
        <v>0</v>
      </c>
      <c r="AD68" s="7">
        <v>0</v>
      </c>
      <c r="AE68" s="7">
        <v>0</v>
      </c>
      <c r="AF68" s="7">
        <v>0</v>
      </c>
      <c r="AG68" s="7">
        <v>0</v>
      </c>
      <c r="AH68" s="7">
        <v>0</v>
      </c>
      <c r="AI68" s="7">
        <v>0</v>
      </c>
      <c r="AJ68" s="7">
        <v>0</v>
      </c>
      <c r="AK68" s="7">
        <v>0</v>
      </c>
      <c r="AL68" s="7">
        <v>0</v>
      </c>
      <c r="AM68" s="7">
        <v>0</v>
      </c>
      <c r="AN68" s="7">
        <v>0</v>
      </c>
      <c r="AO68" s="7">
        <v>0</v>
      </c>
      <c r="AP68" s="7">
        <v>0</v>
      </c>
      <c r="AQ68" s="7">
        <v>0</v>
      </c>
      <c r="AR68" s="7">
        <v>0</v>
      </c>
      <c r="AS68" s="7">
        <v>0</v>
      </c>
      <c r="AT68" s="7">
        <v>0</v>
      </c>
      <c r="AU68" s="7">
        <v>0</v>
      </c>
      <c r="AV68" s="7">
        <v>1</v>
      </c>
      <c r="AW68" s="7">
        <v>0</v>
      </c>
      <c r="AX68" s="7">
        <v>0</v>
      </c>
      <c r="AY68" s="7">
        <v>0</v>
      </c>
      <c r="AZ68" s="7">
        <v>1</v>
      </c>
      <c r="BA68" s="7">
        <v>0</v>
      </c>
      <c r="BB68" s="7">
        <v>0</v>
      </c>
      <c r="BC68" s="7">
        <v>0</v>
      </c>
      <c r="BD68" s="7">
        <v>0</v>
      </c>
      <c r="BE68" s="7">
        <v>0</v>
      </c>
      <c r="BF68" s="7">
        <v>0</v>
      </c>
      <c r="BG68" s="7">
        <v>0</v>
      </c>
      <c r="BH68" s="7">
        <v>0</v>
      </c>
      <c r="BI68" s="7">
        <v>0</v>
      </c>
      <c r="BJ68" s="7">
        <v>0</v>
      </c>
      <c r="BK68" s="7">
        <v>0</v>
      </c>
      <c r="BL68" s="7">
        <v>0</v>
      </c>
      <c r="BM68" s="7">
        <v>0</v>
      </c>
      <c r="BN68" s="7">
        <v>0</v>
      </c>
      <c r="BO68" s="7">
        <v>0</v>
      </c>
      <c r="BP68" s="7">
        <v>0</v>
      </c>
      <c r="BQ68" s="7">
        <v>1</v>
      </c>
      <c r="BR68" s="7">
        <v>0</v>
      </c>
      <c r="BS68" s="7">
        <v>0</v>
      </c>
      <c r="BT68" s="7">
        <v>0</v>
      </c>
      <c r="BU68" s="7">
        <v>0</v>
      </c>
      <c r="BV68" s="7">
        <v>0</v>
      </c>
      <c r="BW68" s="7"/>
      <c r="BX68" s="7"/>
      <c r="BY68" s="7"/>
      <c r="BZ68" s="7"/>
      <c r="CA68" s="7"/>
      <c r="CB68" s="7"/>
      <c r="CC68" s="7"/>
      <c r="CD68" s="7"/>
      <c r="CE68" s="7"/>
      <c r="CF68" s="7"/>
      <c r="CG68" s="7"/>
      <c r="CH68" s="9">
        <f ca="1">E68</f>
        <v>3</v>
      </c>
    </row>
    <row r="69" spans="4:86" x14ac:dyDescent="0.25">
      <c r="D69" s="9">
        <v>3</v>
      </c>
      <c r="E69" s="9">
        <f t="shared" ca="1" si="21"/>
        <v>3</v>
      </c>
      <c r="F69" s="8">
        <f t="array" aca="1" ref="F69" ca="1">IF(SUM(OFFSET(Factors,VALUE(RIGHT(F$34,2)),1,1,68))=0,"None",SQRT(SUM((OFFSET(Factors,VALUE(RIGHT(F$34,2)),1,1,68)-$R69:$CG69)^2)))</f>
        <v>2.3094010767585034</v>
      </c>
      <c r="G69" s="8">
        <f t="array" aca="1" ref="G69" ca="1">IF(SUM(OFFSET(Factors,VALUE(RIGHT(G$34,2)),1,1,68))=0,"None",SQRT(SUM((OFFSET(Factors,VALUE(RIGHT(G$34,2)),1,1,68)-$R69:$CG69)^2)))</f>
        <v>2.4381231397212986</v>
      </c>
      <c r="H69" s="8">
        <f t="array" aca="1" ref="H69" ca="1">IF(SUM(OFFSET(Factors,VALUE(RIGHT(H$34,2)),1,1,68))=0,"None",SQRT(SUM((OFFSET(Factors,VALUE(RIGHT(H$34,2)),1,1,68)-$R69:$CG69)^2)))</f>
        <v>1.2328828005937955</v>
      </c>
      <c r="I69" s="8">
        <f t="array" aca="1" ref="I69" ca="1">IF(SUM(OFFSET(Factors,VALUE(RIGHT(I$34,2)),1,1,68))=0,"None",SQRT(SUM((OFFSET(Factors,VALUE(RIGHT(I$34,2)),1,1,68)-$R69:$CG69)^2)))</f>
        <v>2.3570226039551581</v>
      </c>
      <c r="J69" s="8">
        <f t="array" aca="1" ref="J69" ca="1">IF(SUM(OFFSET(Factors,VALUE(RIGHT(J$34,2)),1,1,68))=0,"None",SQRT(SUM((OFFSET(Factors,VALUE(RIGHT(J$34,2)),1,1,68)-$R69:$CG69)^2)))</f>
        <v>2.3494680248941462</v>
      </c>
      <c r="K69" s="8">
        <f t="array" aca="1" ref="K69" ca="1">IF(SUM(OFFSET(Factors,VALUE(RIGHT(K$34,2)),1,1,68))=0,"None",SQRT(SUM((OFFSET(Factors,VALUE(RIGHT(K$34,2)),1,1,68)-$R69:$CG69)^2)))</f>
        <v>1.6666666666666667</v>
      </c>
      <c r="L69" s="8">
        <f t="array" aca="1" ref="L69" ca="1">IF(SUM(OFFSET(Factors,VALUE(RIGHT(L$34,2)),1,1,68))=0,"None",SQRT(SUM((OFFSET(Factors,VALUE(RIGHT(L$34,2)),1,1,68)-$R69:$CG69)^2)))</f>
        <v>2.8284271247461903</v>
      </c>
      <c r="M69" s="8">
        <f t="array" aca="1" ref="M69" ca="1">IF(SUM(OFFSET(Factors,VALUE(RIGHT(M$34,2)),1,1,68))=0,"None",SQRT(SUM((OFFSET(Factors,VALUE(RIGHT(M$34,2)),1,1,68)-$R69:$CG69)^2)))</f>
        <v>1.8371173070873836</v>
      </c>
      <c r="N69" s="8">
        <f t="array" aca="1" ref="N69" ca="1">IF(SUM(OFFSET(Factors,VALUE(RIGHT(N$34,2)),1,1,68))=0,"None",SQRT(SUM((OFFSET(Factors,VALUE(RIGHT(N$34,2)),1,1,68)-$R69:$CG69)^2)))</f>
        <v>2.7386127875258306</v>
      </c>
      <c r="O69" s="8">
        <f t="array" aca="1" ref="O69" ca="1">IF(SUM(OFFSET(Factors,VALUE(RIGHT(O$34,2)),1,1,68))=0,"None",SQRT(SUM((OFFSET(Factors,VALUE(RIGHT(O$34,2)),1,1,68)-$R69:$CG69)^2)))</f>
        <v>2.0591260281974</v>
      </c>
      <c r="Q69" s="18" t="s">
        <v>141</v>
      </c>
      <c r="R69" s="7">
        <v>0</v>
      </c>
      <c r="S69" s="7">
        <v>0</v>
      </c>
      <c r="T69" s="7">
        <v>0</v>
      </c>
      <c r="U69" s="7">
        <v>0</v>
      </c>
      <c r="V69" s="7">
        <v>0</v>
      </c>
      <c r="W69" s="7">
        <v>0</v>
      </c>
      <c r="X69" s="7">
        <v>1</v>
      </c>
      <c r="Y69" s="7">
        <v>0</v>
      </c>
      <c r="Z69" s="7">
        <v>0</v>
      </c>
      <c r="AA69" s="7">
        <v>0</v>
      </c>
      <c r="AB69" s="7">
        <v>0</v>
      </c>
      <c r="AC69" s="7">
        <v>0</v>
      </c>
      <c r="AD69" s="7">
        <v>0</v>
      </c>
      <c r="AE69" s="7">
        <v>0</v>
      </c>
      <c r="AF69" s="7">
        <v>0</v>
      </c>
      <c r="AG69" s="7">
        <v>0</v>
      </c>
      <c r="AH69" s="7">
        <v>0</v>
      </c>
      <c r="AI69" s="7">
        <v>0</v>
      </c>
      <c r="AJ69" s="7">
        <v>0</v>
      </c>
      <c r="AK69" s="7">
        <v>0</v>
      </c>
      <c r="AL69" s="7">
        <v>0</v>
      </c>
      <c r="AM69" s="7">
        <v>0</v>
      </c>
      <c r="AN69" s="7">
        <v>0</v>
      </c>
      <c r="AO69" s="7">
        <v>0</v>
      </c>
      <c r="AP69" s="7">
        <v>0</v>
      </c>
      <c r="AQ69" s="7">
        <v>0</v>
      </c>
      <c r="AR69" s="7">
        <v>0</v>
      </c>
      <c r="AS69" s="7">
        <v>0</v>
      </c>
      <c r="AT69" s="7">
        <v>0</v>
      </c>
      <c r="AU69" s="7">
        <v>0</v>
      </c>
      <c r="AV69" s="7">
        <v>1</v>
      </c>
      <c r="AW69" s="7">
        <v>0</v>
      </c>
      <c r="AX69" s="7">
        <v>0</v>
      </c>
      <c r="AY69" s="7">
        <v>0</v>
      </c>
      <c r="AZ69" s="7">
        <v>1</v>
      </c>
      <c r="BA69" s="7">
        <v>0</v>
      </c>
      <c r="BB69" s="7">
        <v>0</v>
      </c>
      <c r="BC69" s="7">
        <v>0</v>
      </c>
      <c r="BD69" s="7">
        <v>0</v>
      </c>
      <c r="BE69" s="7">
        <v>0</v>
      </c>
      <c r="BF69" s="7">
        <v>0</v>
      </c>
      <c r="BG69" s="7">
        <v>0</v>
      </c>
      <c r="BH69" s="7">
        <v>0</v>
      </c>
      <c r="BI69" s="7">
        <v>0</v>
      </c>
      <c r="BJ69" s="7">
        <v>0</v>
      </c>
      <c r="BK69" s="7">
        <v>0</v>
      </c>
      <c r="BL69" s="7">
        <v>0</v>
      </c>
      <c r="BM69" s="7">
        <v>0</v>
      </c>
      <c r="BN69" s="7">
        <v>0</v>
      </c>
      <c r="BO69" s="7">
        <v>0</v>
      </c>
      <c r="BP69" s="7">
        <v>0</v>
      </c>
      <c r="BQ69" s="7">
        <v>1</v>
      </c>
      <c r="BR69" s="7">
        <v>0</v>
      </c>
      <c r="BS69" s="7">
        <v>0</v>
      </c>
      <c r="BT69" s="7">
        <v>0</v>
      </c>
      <c r="BU69" s="7">
        <v>0</v>
      </c>
      <c r="BV69" s="7">
        <v>0</v>
      </c>
      <c r="BW69" s="7"/>
      <c r="BX69" s="7"/>
      <c r="BY69" s="7"/>
      <c r="BZ69" s="7"/>
      <c r="CA69" s="7"/>
      <c r="CB69" s="7"/>
      <c r="CC69" s="7"/>
      <c r="CD69" s="7"/>
      <c r="CE69" s="7"/>
      <c r="CF69" s="7"/>
      <c r="CG69" s="7"/>
      <c r="CH69" s="9">
        <f ca="1">E69</f>
        <v>3</v>
      </c>
    </row>
    <row r="70" spans="4:86" x14ac:dyDescent="0.25">
      <c r="D70" s="9">
        <v>6</v>
      </c>
      <c r="E70" s="9">
        <f t="shared" ca="1" si="21"/>
        <v>6</v>
      </c>
      <c r="F70" s="8">
        <f t="array" aca="1" ref="F70" ca="1">IF(SUM(OFFSET(Factors,VALUE(RIGHT(F$34,2)),1,1,68))=0,"None",SQRT(SUM((OFFSET(Factors,VALUE(RIGHT(F$34,2)),1,1,68)-$R70:$CG70)^2)))</f>
        <v>2.3094010767585034</v>
      </c>
      <c r="G70" s="8">
        <f t="array" aca="1" ref="G70" ca="1">IF(SUM(OFFSET(Factors,VALUE(RIGHT(G$34,2)),1,1,68))=0,"None",SQRT(SUM((OFFSET(Factors,VALUE(RIGHT(G$34,2)),1,1,68)-$R70:$CG70)^2)))</f>
        <v>2.4381231397212986</v>
      </c>
      <c r="H70" s="8">
        <f t="array" aca="1" ref="H70" ca="1">IF(SUM(OFFSET(Factors,VALUE(RIGHT(H$34,2)),1,1,68))=0,"None",SQRT(SUM((OFFSET(Factors,VALUE(RIGHT(H$34,2)),1,1,68)-$R70:$CG70)^2)))</f>
        <v>1.8761663039293719</v>
      </c>
      <c r="I70" s="8">
        <f t="array" aca="1" ref="I70" ca="1">IF(SUM(OFFSET(Factors,VALUE(RIGHT(I$34,2)),1,1,68))=0,"None",SQRT(SUM((OFFSET(Factors,VALUE(RIGHT(I$34,2)),1,1,68)-$R70:$CG70)^2)))</f>
        <v>2.3570226039551581</v>
      </c>
      <c r="J70" s="8">
        <f t="array" aca="1" ref="J70" ca="1">IF(SUM(OFFSET(Factors,VALUE(RIGHT(J$34,2)),1,1,68))=0,"None",SQRT(SUM((OFFSET(Factors,VALUE(RIGHT(J$34,2)),1,1,68)-$R70:$CG70)^2)))</f>
        <v>2.3494680248941462</v>
      </c>
      <c r="K70" s="8">
        <f t="array" aca="1" ref="K70" ca="1">IF(SUM(OFFSET(Factors,VALUE(RIGHT(K$34,2)),1,1,68))=0,"None",SQRT(SUM((OFFSET(Factors,VALUE(RIGHT(K$34,2)),1,1,68)-$R70:$CG70)^2)))</f>
        <v>0.88191710368819698</v>
      </c>
      <c r="L70" s="8">
        <f t="array" aca="1" ref="L70" ca="1">IF(SUM(OFFSET(Factors,VALUE(RIGHT(L$34,2)),1,1,68))=0,"None",SQRT(SUM((OFFSET(Factors,VALUE(RIGHT(L$34,2)),1,1,68)-$R70:$CG70)^2)))</f>
        <v>2.8284271247461903</v>
      </c>
      <c r="M70" s="8">
        <f t="array" aca="1" ref="M70" ca="1">IF(SUM(OFFSET(Factors,VALUE(RIGHT(M$34,2)),1,1,68))=0,"None",SQRT(SUM((OFFSET(Factors,VALUE(RIGHT(M$34,2)),1,1,68)-$R70:$CG70)^2)))</f>
        <v>1.695582495781317</v>
      </c>
      <c r="N70" s="8">
        <f t="array" aca="1" ref="N70" ca="1">IF(SUM(OFFSET(Factors,VALUE(RIGHT(N$34,2)),1,1,68))=0,"None",SQRT(SUM((OFFSET(Factors,VALUE(RIGHT(N$34,2)),1,1,68)-$R70:$CG70)^2)))</f>
        <v>2.7386127875258306</v>
      </c>
      <c r="O70" s="8">
        <f t="array" aca="1" ref="O70" ca="1">IF(SUM(OFFSET(Factors,VALUE(RIGHT(O$34,2)),1,1,68))=0,"None",SQRT(SUM((OFFSET(Factors,VALUE(RIGHT(O$34,2)),1,1,68)-$R70:$CG70)^2)))</f>
        <v>2.4979991993593593</v>
      </c>
      <c r="Q70" s="18" t="s">
        <v>142</v>
      </c>
      <c r="R70" s="7">
        <v>0</v>
      </c>
      <c r="S70" s="7">
        <v>0</v>
      </c>
      <c r="T70" s="7">
        <v>0</v>
      </c>
      <c r="U70" s="7">
        <v>0</v>
      </c>
      <c r="V70" s="7">
        <v>0</v>
      </c>
      <c r="W70" s="7">
        <v>0</v>
      </c>
      <c r="X70" s="7">
        <v>1</v>
      </c>
      <c r="Y70" s="7">
        <v>0</v>
      </c>
      <c r="Z70" s="7">
        <v>0</v>
      </c>
      <c r="AA70" s="7">
        <v>0</v>
      </c>
      <c r="AB70" s="7">
        <v>0</v>
      </c>
      <c r="AC70" s="7">
        <v>0</v>
      </c>
      <c r="AD70" s="7">
        <v>0</v>
      </c>
      <c r="AE70" s="7">
        <v>0</v>
      </c>
      <c r="AF70" s="7">
        <v>0</v>
      </c>
      <c r="AG70" s="7">
        <v>0</v>
      </c>
      <c r="AH70" s="7">
        <v>0</v>
      </c>
      <c r="AI70" s="7">
        <v>0</v>
      </c>
      <c r="AJ70" s="7">
        <v>0</v>
      </c>
      <c r="AK70" s="7">
        <v>0</v>
      </c>
      <c r="AL70" s="7">
        <v>0</v>
      </c>
      <c r="AM70" s="7">
        <v>0</v>
      </c>
      <c r="AN70" s="7">
        <v>0</v>
      </c>
      <c r="AO70" s="7">
        <v>0</v>
      </c>
      <c r="AP70" s="7">
        <v>0</v>
      </c>
      <c r="AQ70" s="7">
        <v>0</v>
      </c>
      <c r="AR70" s="7">
        <v>0</v>
      </c>
      <c r="AS70" s="7">
        <v>0</v>
      </c>
      <c r="AT70" s="7">
        <v>0</v>
      </c>
      <c r="AU70" s="7">
        <v>0</v>
      </c>
      <c r="AV70" s="7">
        <v>1</v>
      </c>
      <c r="AW70" s="7">
        <v>0</v>
      </c>
      <c r="AX70" s="7">
        <v>0</v>
      </c>
      <c r="AY70" s="7">
        <v>0</v>
      </c>
      <c r="AZ70" s="7">
        <v>1</v>
      </c>
      <c r="BA70" s="7">
        <v>0</v>
      </c>
      <c r="BB70" s="7">
        <v>0</v>
      </c>
      <c r="BC70" s="7">
        <v>0</v>
      </c>
      <c r="BD70" s="7">
        <v>0</v>
      </c>
      <c r="BE70" s="7">
        <v>0</v>
      </c>
      <c r="BF70" s="7">
        <v>0</v>
      </c>
      <c r="BG70" s="7">
        <v>0</v>
      </c>
      <c r="BH70" s="7">
        <v>0</v>
      </c>
      <c r="BI70" s="7">
        <v>0</v>
      </c>
      <c r="BJ70" s="7">
        <v>0</v>
      </c>
      <c r="BK70" s="7">
        <v>0</v>
      </c>
      <c r="BL70" s="7">
        <v>0</v>
      </c>
      <c r="BM70" s="7">
        <v>0</v>
      </c>
      <c r="BN70" s="7">
        <v>0</v>
      </c>
      <c r="BO70" s="7">
        <v>0</v>
      </c>
      <c r="BP70" s="7">
        <v>0</v>
      </c>
      <c r="BQ70" s="7">
        <v>0</v>
      </c>
      <c r="BR70" s="7">
        <v>0</v>
      </c>
      <c r="BS70" s="7">
        <v>0</v>
      </c>
      <c r="BT70" s="7">
        <v>1</v>
      </c>
      <c r="BU70" s="7">
        <v>0</v>
      </c>
      <c r="BV70" s="7">
        <v>0</v>
      </c>
      <c r="BW70" s="7"/>
      <c r="BX70" s="7"/>
      <c r="BY70" s="7"/>
      <c r="BZ70" s="7"/>
      <c r="CA70" s="7"/>
      <c r="CB70" s="7"/>
      <c r="CC70" s="7"/>
      <c r="CD70" s="7"/>
      <c r="CE70" s="7"/>
      <c r="CF70" s="7"/>
      <c r="CG70" s="7"/>
      <c r="CH70" s="9">
        <f ca="1">E70</f>
        <v>6</v>
      </c>
    </row>
    <row r="71" spans="4:86" x14ac:dyDescent="0.25">
      <c r="D71" s="9">
        <v>3</v>
      </c>
      <c r="E71" s="9">
        <f t="shared" ca="1" si="21"/>
        <v>3</v>
      </c>
      <c r="F71" s="8">
        <f t="array" aca="1" ref="F71" ca="1">IF(SUM(OFFSET(Factors,VALUE(RIGHT(F$34,2)),1,1,68))=0,"None",SQRT(SUM((OFFSET(Factors,VALUE(RIGHT(F$34,2)),1,1,68)-$R71:$CG71)^2)))</f>
        <v>2.4494897427831779</v>
      </c>
      <c r="G71" s="8">
        <f t="array" aca="1" ref="G71" ca="1">IF(SUM(OFFSET(Factors,VALUE(RIGHT(G$34,2)),1,1,68))=0,"None",SQRT(SUM((OFFSET(Factors,VALUE(RIGHT(G$34,2)),1,1,68)-$R71:$CG71)^2)))</f>
        <v>2.2973414586817036</v>
      </c>
      <c r="H71" s="8">
        <f t="array" aca="1" ref="H71" ca="1">IF(SUM(OFFSET(Factors,VALUE(RIGHT(H$34,2)),1,1,68))=0,"None",SQRT(SUM((OFFSET(Factors,VALUE(RIGHT(H$34,2)),1,1,68)-$R71:$CG71)^2)))</f>
        <v>1.0583005244258363</v>
      </c>
      <c r="I71" s="8">
        <f t="array" aca="1" ref="I71" ca="1">IF(SUM(OFFSET(Factors,VALUE(RIGHT(I$34,2)),1,1,68))=0,"None",SQRT(SUM((OFFSET(Factors,VALUE(RIGHT(I$34,2)),1,1,68)-$R71:$CG71)^2)))</f>
        <v>2.3570226039551581</v>
      </c>
      <c r="J71" s="8">
        <f t="array" aca="1" ref="J71" ca="1">IF(SUM(OFFSET(Factors,VALUE(RIGHT(J$34,2)),1,1,68))=0,"None",SQRT(SUM((OFFSET(Factors,VALUE(RIGHT(J$34,2)),1,1,68)-$R71:$CG71)^2)))</f>
        <v>2.2627416997969521</v>
      </c>
      <c r="K71" s="8">
        <f t="array" aca="1" ref="K71" ca="1">IF(SUM(OFFSET(Factors,VALUE(RIGHT(K$34,2)),1,1,68))=0,"None",SQRT(SUM((OFFSET(Factors,VALUE(RIGHT(K$34,2)),1,1,68)-$R71:$CG71)^2)))</f>
        <v>2.1858128414340006</v>
      </c>
      <c r="L71" s="8">
        <f t="array" aca="1" ref="L71" ca="1">IF(SUM(OFFSET(Factors,VALUE(RIGHT(L$34,2)),1,1,68))=0,"None",SQRT(SUM((OFFSET(Factors,VALUE(RIGHT(L$34,2)),1,1,68)-$R71:$CG71)^2)))</f>
        <v>2</v>
      </c>
      <c r="M71" s="8">
        <f t="array" aca="1" ref="M71" ca="1">IF(SUM(OFFSET(Factors,VALUE(RIGHT(M$34,2)),1,1,68))=0,"None",SQRT(SUM((OFFSET(Factors,VALUE(RIGHT(M$34,2)),1,1,68)-$R71:$CG71)^2)))</f>
        <v>1.9685019685029528</v>
      </c>
      <c r="N71" s="8">
        <f t="array" aca="1" ref="N71" ca="1">IF(SUM(OFFSET(Factors,VALUE(RIGHT(N$34,2)),1,1,68))=0,"None",SQRT(SUM((OFFSET(Factors,VALUE(RIGHT(N$34,2)),1,1,68)-$R71:$CG71)^2)))</f>
        <v>2.7386127875258306</v>
      </c>
      <c r="O71" s="8">
        <f t="array" aca="1" ref="O71" ca="1">IF(SUM(OFFSET(Factors,VALUE(RIGHT(O$34,2)),1,1,68))=0,"None",SQRT(SUM((OFFSET(Factors,VALUE(RIGHT(O$34,2)),1,1,68)-$R71:$CG71)^2)))</f>
        <v>1.9595917942265426</v>
      </c>
      <c r="Q71" s="18" t="s">
        <v>143</v>
      </c>
      <c r="R71" s="7">
        <v>0</v>
      </c>
      <c r="S71" s="7">
        <v>0</v>
      </c>
      <c r="T71" s="7">
        <v>0</v>
      </c>
      <c r="U71" s="7">
        <v>0</v>
      </c>
      <c r="V71" s="7">
        <v>0</v>
      </c>
      <c r="W71" s="7">
        <v>1</v>
      </c>
      <c r="X71" s="7">
        <v>0</v>
      </c>
      <c r="Y71" s="7">
        <v>0</v>
      </c>
      <c r="Z71" s="7">
        <v>0</v>
      </c>
      <c r="AA71" s="7">
        <v>0</v>
      </c>
      <c r="AB71" s="7">
        <v>0</v>
      </c>
      <c r="AC71" s="7">
        <v>0</v>
      </c>
      <c r="AD71" s="7">
        <v>0</v>
      </c>
      <c r="AE71" s="7">
        <v>0</v>
      </c>
      <c r="AF71" s="7">
        <v>0</v>
      </c>
      <c r="AG71" s="7">
        <v>0</v>
      </c>
      <c r="AH71" s="7">
        <v>0</v>
      </c>
      <c r="AI71" s="7">
        <v>0</v>
      </c>
      <c r="AJ71" s="7">
        <v>0</v>
      </c>
      <c r="AK71" s="7">
        <v>0</v>
      </c>
      <c r="AL71" s="7">
        <v>0</v>
      </c>
      <c r="AM71" s="7">
        <v>0</v>
      </c>
      <c r="AN71" s="7">
        <v>0</v>
      </c>
      <c r="AO71" s="7">
        <v>0</v>
      </c>
      <c r="AP71" s="7">
        <v>0</v>
      </c>
      <c r="AQ71" s="7">
        <v>0</v>
      </c>
      <c r="AR71" s="7">
        <v>0</v>
      </c>
      <c r="AS71" s="7">
        <v>0</v>
      </c>
      <c r="AT71" s="7">
        <v>1</v>
      </c>
      <c r="AU71" s="7">
        <v>0</v>
      </c>
      <c r="AV71" s="7">
        <v>0</v>
      </c>
      <c r="AW71" s="7">
        <v>0</v>
      </c>
      <c r="AX71" s="7">
        <v>0</v>
      </c>
      <c r="AY71" s="7">
        <v>0</v>
      </c>
      <c r="AZ71" s="7">
        <v>1</v>
      </c>
      <c r="BA71" s="7">
        <v>0</v>
      </c>
      <c r="BB71" s="7">
        <v>0</v>
      </c>
      <c r="BC71" s="7">
        <v>0</v>
      </c>
      <c r="BD71" s="7">
        <v>0</v>
      </c>
      <c r="BE71" s="7">
        <v>0</v>
      </c>
      <c r="BF71" s="7">
        <v>0</v>
      </c>
      <c r="BG71" s="7">
        <v>0</v>
      </c>
      <c r="BH71" s="7">
        <v>0</v>
      </c>
      <c r="BI71" s="7">
        <v>0</v>
      </c>
      <c r="BJ71" s="7">
        <v>0</v>
      </c>
      <c r="BK71" s="7">
        <v>0</v>
      </c>
      <c r="BL71" s="7">
        <v>0</v>
      </c>
      <c r="BM71" s="7">
        <v>0</v>
      </c>
      <c r="BN71" s="7">
        <v>0</v>
      </c>
      <c r="BO71" s="7">
        <v>0</v>
      </c>
      <c r="BP71" s="7">
        <v>0</v>
      </c>
      <c r="BQ71" s="7">
        <v>1</v>
      </c>
      <c r="BR71" s="7">
        <v>0</v>
      </c>
      <c r="BS71" s="7">
        <v>0</v>
      </c>
      <c r="BT71" s="7">
        <v>0</v>
      </c>
      <c r="BU71" s="7">
        <v>0</v>
      </c>
      <c r="BV71" s="7">
        <v>0</v>
      </c>
      <c r="BW71" s="7"/>
      <c r="BX71" s="7"/>
      <c r="BY71" s="7"/>
      <c r="BZ71" s="7"/>
      <c r="CA71" s="7"/>
      <c r="CB71" s="7"/>
      <c r="CC71" s="7"/>
      <c r="CD71" s="7"/>
      <c r="CE71" s="7"/>
      <c r="CF71" s="7"/>
      <c r="CG71" s="7"/>
      <c r="CH71" s="9">
        <f ca="1">E71</f>
        <v>3</v>
      </c>
    </row>
    <row r="72" spans="4:86" x14ac:dyDescent="0.25">
      <c r="D72" s="9">
        <v>1</v>
      </c>
      <c r="E72" s="9">
        <f t="shared" ca="1" si="21"/>
        <v>1</v>
      </c>
      <c r="F72" s="8">
        <f t="array" aca="1" ref="F72" ca="1">IF(SUM(OFFSET(Factors,VALUE(RIGHT(F$34,2)),1,1,68))=0,"None",SQRT(SUM((OFFSET(Factors,VALUE(RIGHT(F$34,2)),1,1,68)-$R72:$CG72)^2)))</f>
        <v>1.4142135623730951</v>
      </c>
      <c r="G72" s="8">
        <f t="array" aca="1" ref="G72" ca="1">IF(SUM(OFFSET(Factors,VALUE(RIGHT(G$34,2)),1,1,68))=0,"None",SQRT(SUM((OFFSET(Factors,VALUE(RIGHT(G$34,2)),1,1,68)-$R72:$CG72)^2)))</f>
        <v>2.1473497877875207</v>
      </c>
      <c r="H72" s="8">
        <f t="array" aca="1" ref="H72" ca="1">IF(SUM(OFFSET(Factors,VALUE(RIGHT(H$34,2)),1,1,68))=0,"None",SQRT(SUM((OFFSET(Factors,VALUE(RIGHT(H$34,2)),1,1,68)-$R72:$CG72)^2)))</f>
        <v>2.4331050121192876</v>
      </c>
      <c r="I72" s="8">
        <f t="array" aca="1" ref="I72" ca="1">IF(SUM(OFFSET(Factors,VALUE(RIGHT(I$34,2)),1,1,68))=0,"None",SQRT(SUM((OFFSET(Factors,VALUE(RIGHT(I$34,2)),1,1,68)-$R72:$CG72)^2)))</f>
        <v>2.4944382578492941</v>
      </c>
      <c r="J72" s="8">
        <f t="array" aca="1" ref="J72" ca="1">IF(SUM(OFFSET(Factors,VALUE(RIGHT(J$34,2)),1,1,68))=0,"None",SQRT(SUM((OFFSET(Factors,VALUE(RIGHT(J$34,2)),1,1,68)-$R72:$CG72)^2)))</f>
        <v>2.1725560982400434</v>
      </c>
      <c r="K72" s="8">
        <f t="array" aca="1" ref="K72" ca="1">IF(SUM(OFFSET(Factors,VALUE(RIGHT(K$34,2)),1,1,68))=0,"None",SQRT(SUM((OFFSET(Factors,VALUE(RIGHT(K$34,2)),1,1,68)-$R72:$CG72)^2)))</f>
        <v>2.2607766610417559</v>
      </c>
      <c r="L72" s="8">
        <f t="array" aca="1" ref="L72" ca="1">IF(SUM(OFFSET(Factors,VALUE(RIGHT(L$34,2)),1,1,68))=0,"None",SQRT(SUM((OFFSET(Factors,VALUE(RIGHT(L$34,2)),1,1,68)-$R72:$CG72)^2)))</f>
        <v>2</v>
      </c>
      <c r="M72" s="8">
        <f t="array" aca="1" ref="M72" ca="1">IF(SUM(OFFSET(Factors,VALUE(RIGHT(M$34,2)),1,1,68))=0,"None",SQRT(SUM((OFFSET(Factors,VALUE(RIGHT(M$34,2)),1,1,68)-$R72:$CG72)^2)))</f>
        <v>1.9685019685029528</v>
      </c>
      <c r="N72" s="8">
        <f t="array" aca="1" ref="N72" ca="1">IF(SUM(OFFSET(Factors,VALUE(RIGHT(N$34,2)),1,1,68))=0,"None",SQRT(SUM((OFFSET(Factors,VALUE(RIGHT(N$34,2)),1,1,68)-$R72:$CG72)^2)))</f>
        <v>2.7386127875258306</v>
      </c>
      <c r="O72" s="8">
        <f t="array" aca="1" ref="O72" ca="1">IF(SUM(OFFSET(Factors,VALUE(RIGHT(O$34,2)),1,1,68))=0,"None",SQRT(SUM((OFFSET(Factors,VALUE(RIGHT(O$34,2)),1,1,68)-$R72:$CG72)^2)))</f>
        <v>2.4979991993593593</v>
      </c>
      <c r="Q72" s="18" t="s">
        <v>144</v>
      </c>
      <c r="R72" s="7">
        <v>0</v>
      </c>
      <c r="S72" s="7">
        <v>0</v>
      </c>
      <c r="T72" s="7">
        <v>0</v>
      </c>
      <c r="U72" s="7">
        <v>0</v>
      </c>
      <c r="V72" s="7">
        <v>0</v>
      </c>
      <c r="W72" s="7">
        <v>0</v>
      </c>
      <c r="X72" s="7">
        <v>0</v>
      </c>
      <c r="Y72" s="7">
        <v>0</v>
      </c>
      <c r="Z72" s="7">
        <v>0</v>
      </c>
      <c r="AA72" s="7">
        <v>0</v>
      </c>
      <c r="AB72" s="7">
        <v>0</v>
      </c>
      <c r="AC72" s="7">
        <v>0</v>
      </c>
      <c r="AD72" s="7">
        <v>1</v>
      </c>
      <c r="AE72" s="7">
        <v>0</v>
      </c>
      <c r="AF72" s="7">
        <v>0</v>
      </c>
      <c r="AG72" s="7">
        <v>0</v>
      </c>
      <c r="AH72" s="7">
        <v>0</v>
      </c>
      <c r="AI72" s="7">
        <v>0</v>
      </c>
      <c r="AJ72" s="7">
        <v>0</v>
      </c>
      <c r="AK72" s="7">
        <v>0</v>
      </c>
      <c r="AL72" s="7">
        <v>0</v>
      </c>
      <c r="AM72" s="7">
        <v>0</v>
      </c>
      <c r="AN72" s="7">
        <v>0</v>
      </c>
      <c r="AO72" s="7">
        <v>0</v>
      </c>
      <c r="AP72" s="7">
        <v>0</v>
      </c>
      <c r="AQ72" s="7">
        <v>0</v>
      </c>
      <c r="AR72" s="7">
        <v>0</v>
      </c>
      <c r="AS72" s="7">
        <v>0</v>
      </c>
      <c r="AT72" s="7">
        <v>0</v>
      </c>
      <c r="AU72" s="7">
        <v>0</v>
      </c>
      <c r="AV72" s="7">
        <v>1</v>
      </c>
      <c r="AW72" s="7">
        <v>0</v>
      </c>
      <c r="AX72" s="7">
        <v>0</v>
      </c>
      <c r="AY72" s="7">
        <v>0</v>
      </c>
      <c r="AZ72" s="7">
        <v>0</v>
      </c>
      <c r="BA72" s="7">
        <v>1</v>
      </c>
      <c r="BB72" s="7">
        <v>0</v>
      </c>
      <c r="BC72" s="7">
        <v>0</v>
      </c>
      <c r="BD72" s="7">
        <v>0</v>
      </c>
      <c r="BE72" s="7">
        <v>0</v>
      </c>
      <c r="BF72" s="7">
        <v>0</v>
      </c>
      <c r="BG72" s="7">
        <v>0</v>
      </c>
      <c r="BH72" s="7">
        <v>0</v>
      </c>
      <c r="BI72" s="7">
        <v>0</v>
      </c>
      <c r="BJ72" s="7">
        <v>0</v>
      </c>
      <c r="BK72" s="7">
        <v>0</v>
      </c>
      <c r="BL72" s="7">
        <v>0</v>
      </c>
      <c r="BM72" s="7">
        <v>0</v>
      </c>
      <c r="BN72" s="7">
        <v>0</v>
      </c>
      <c r="BO72" s="7">
        <v>0</v>
      </c>
      <c r="BP72" s="7">
        <v>0</v>
      </c>
      <c r="BQ72" s="7">
        <v>0</v>
      </c>
      <c r="BR72" s="7">
        <v>0</v>
      </c>
      <c r="BS72" s="7">
        <v>1</v>
      </c>
      <c r="BT72" s="7">
        <v>0</v>
      </c>
      <c r="BU72" s="7">
        <v>0</v>
      </c>
      <c r="BV72" s="7">
        <v>0</v>
      </c>
      <c r="BW72" s="7"/>
      <c r="BX72" s="7"/>
      <c r="BY72" s="7"/>
      <c r="BZ72" s="7"/>
      <c r="CA72" s="7"/>
      <c r="CB72" s="7"/>
      <c r="CC72" s="7"/>
      <c r="CD72" s="7"/>
      <c r="CE72" s="7"/>
      <c r="CF72" s="7"/>
      <c r="CG72" s="7"/>
      <c r="CH72" s="9">
        <f ca="1">E72</f>
        <v>1</v>
      </c>
    </row>
    <row r="73" spans="4:86" x14ac:dyDescent="0.25">
      <c r="D73" s="9">
        <v>2</v>
      </c>
      <c r="E73" s="9">
        <f t="shared" ca="1" si="21"/>
        <v>2</v>
      </c>
      <c r="F73" s="8">
        <f t="array" aca="1" ref="F73" ca="1">IF(SUM(OFFSET(Factors,VALUE(RIGHT(F$34,2)),1,1,68))=0,"None",SQRT(SUM((OFFSET(Factors,VALUE(RIGHT(F$34,2)),1,1,68)-$R73:$CG73)^2)))</f>
        <v>2.1602468994692869</v>
      </c>
      <c r="G73" s="8">
        <f t="array" aca="1" ref="G73" ca="1">IF(SUM(OFFSET(Factors,VALUE(RIGHT(G$34,2)),1,1,68))=0,"None",SQRT(SUM((OFFSET(Factors,VALUE(RIGHT(G$34,2)),1,1,68)-$R73:$CG73)^2)))</f>
        <v>1.1303883305208782</v>
      </c>
      <c r="H73" s="8">
        <f t="array" aca="1" ref="H73" ca="1">IF(SUM(OFFSET(Factors,VALUE(RIGHT(H$34,2)),1,1,68))=0,"None",SQRT(SUM((OFFSET(Factors,VALUE(RIGHT(H$34,2)),1,1,68)-$R73:$CG73)^2)))</f>
        <v>2.2627416997969521</v>
      </c>
      <c r="I73" s="8">
        <f t="array" aca="1" ref="I73" ca="1">IF(SUM(OFFSET(Factors,VALUE(RIGHT(I$34,2)),1,1,68))=0,"None",SQRT(SUM((OFFSET(Factors,VALUE(RIGHT(I$34,2)),1,1,68)-$R73:$CG73)^2)))</f>
        <v>2.3570226039551585</v>
      </c>
      <c r="J73" s="8">
        <f t="array" aca="1" ref="J73" ca="1">IF(SUM(OFFSET(Factors,VALUE(RIGHT(J$34,2)),1,1,68))=0,"None",SQRT(SUM((OFFSET(Factors,VALUE(RIGHT(J$34,2)),1,1,68)-$R73:$CG73)^2)))</f>
        <v>1.9798989873223332</v>
      </c>
      <c r="K73" s="8">
        <f t="array" aca="1" ref="K73" ca="1">IF(SUM(OFFSET(Factors,VALUE(RIGHT(K$34,2)),1,1,68))=0,"None",SQRT(SUM((OFFSET(Factors,VALUE(RIGHT(K$34,2)),1,1,68)-$R73:$CG73)^2)))</f>
        <v>2.6034165586355513</v>
      </c>
      <c r="L73" s="8">
        <f t="array" aca="1" ref="L73" ca="1">IF(SUM(OFFSET(Factors,VALUE(RIGHT(L$34,2)),1,1,68))=0,"None",SQRT(SUM((OFFSET(Factors,VALUE(RIGHT(L$34,2)),1,1,68)-$R73:$CG73)^2)))</f>
        <v>2</v>
      </c>
      <c r="M73" s="8">
        <f t="array" aca="1" ref="M73" ca="1">IF(SUM(OFFSET(Factors,VALUE(RIGHT(M$34,2)),1,1,68))=0,"None",SQRT(SUM((OFFSET(Factors,VALUE(RIGHT(M$34,2)),1,1,68)-$R73:$CG73)^2)))</f>
        <v>2.4238399287081647</v>
      </c>
      <c r="N73" s="8">
        <f t="array" aca="1" ref="N73" ca="1">IF(SUM(OFFSET(Factors,VALUE(RIGHT(N$34,2)),1,1,68))=0,"None",SQRT(SUM((OFFSET(Factors,VALUE(RIGHT(N$34,2)),1,1,68)-$R73:$CG73)^2)))</f>
        <v>2.7386127875258306</v>
      </c>
      <c r="O73" s="8">
        <f t="array" aca="1" ref="O73" ca="1">IF(SUM(OFFSET(Factors,VALUE(RIGHT(O$34,2)),1,1,68))=0,"None",SQRT(SUM((OFFSET(Factors,VALUE(RIGHT(O$34,2)),1,1,68)-$R73:$CG73)^2)))</f>
        <v>2.3323807579381204</v>
      </c>
      <c r="Q73" s="18" t="s">
        <v>145</v>
      </c>
      <c r="R73" s="7">
        <v>0</v>
      </c>
      <c r="S73" s="7">
        <v>0</v>
      </c>
      <c r="T73" s="7">
        <v>0</v>
      </c>
      <c r="U73" s="7">
        <v>0</v>
      </c>
      <c r="V73" s="7">
        <v>0</v>
      </c>
      <c r="W73" s="7">
        <v>1</v>
      </c>
      <c r="X73" s="7">
        <v>0</v>
      </c>
      <c r="Y73" s="7">
        <v>0</v>
      </c>
      <c r="Z73" s="7">
        <v>0</v>
      </c>
      <c r="AA73" s="7">
        <v>0</v>
      </c>
      <c r="AB73" s="7">
        <v>0</v>
      </c>
      <c r="AC73" s="7">
        <v>0</v>
      </c>
      <c r="AD73" s="7">
        <v>0</v>
      </c>
      <c r="AE73" s="7">
        <v>0</v>
      </c>
      <c r="AF73" s="7">
        <v>0</v>
      </c>
      <c r="AG73" s="7">
        <v>0</v>
      </c>
      <c r="AH73" s="7">
        <v>0</v>
      </c>
      <c r="AI73" s="7">
        <v>0</v>
      </c>
      <c r="AJ73" s="7">
        <v>0</v>
      </c>
      <c r="AK73" s="7">
        <v>0</v>
      </c>
      <c r="AL73" s="7">
        <v>0</v>
      </c>
      <c r="AM73" s="7">
        <v>0</v>
      </c>
      <c r="AN73" s="7">
        <v>0</v>
      </c>
      <c r="AO73" s="7">
        <v>0</v>
      </c>
      <c r="AP73" s="7">
        <v>0</v>
      </c>
      <c r="AQ73" s="7">
        <v>0</v>
      </c>
      <c r="AR73" s="7">
        <v>0</v>
      </c>
      <c r="AS73" s="7">
        <v>1</v>
      </c>
      <c r="AT73" s="7">
        <v>0</v>
      </c>
      <c r="AU73" s="7">
        <v>0</v>
      </c>
      <c r="AV73" s="7">
        <v>0</v>
      </c>
      <c r="AW73" s="7">
        <v>0</v>
      </c>
      <c r="AX73" s="7">
        <v>0</v>
      </c>
      <c r="AY73" s="7">
        <v>0</v>
      </c>
      <c r="AZ73" s="7">
        <v>0</v>
      </c>
      <c r="BA73" s="7">
        <v>1</v>
      </c>
      <c r="BB73" s="7">
        <v>0</v>
      </c>
      <c r="BC73" s="7">
        <v>0</v>
      </c>
      <c r="BD73" s="7">
        <v>0</v>
      </c>
      <c r="BE73" s="7">
        <v>0</v>
      </c>
      <c r="BF73" s="7">
        <v>0</v>
      </c>
      <c r="BG73" s="7">
        <v>0</v>
      </c>
      <c r="BH73" s="7">
        <v>0</v>
      </c>
      <c r="BI73" s="7">
        <v>0</v>
      </c>
      <c r="BJ73" s="7">
        <v>0</v>
      </c>
      <c r="BK73" s="7">
        <v>0</v>
      </c>
      <c r="BL73" s="7">
        <v>0</v>
      </c>
      <c r="BM73" s="7">
        <v>0</v>
      </c>
      <c r="BN73" s="7">
        <v>0</v>
      </c>
      <c r="BO73" s="7">
        <v>0</v>
      </c>
      <c r="BP73" s="7">
        <v>0</v>
      </c>
      <c r="BQ73" s="7">
        <v>0</v>
      </c>
      <c r="BR73" s="7">
        <v>1</v>
      </c>
      <c r="BS73" s="7">
        <v>0</v>
      </c>
      <c r="BT73" s="7">
        <v>0</v>
      </c>
      <c r="BU73" s="7">
        <v>0</v>
      </c>
      <c r="BV73" s="7">
        <v>0</v>
      </c>
      <c r="BW73" s="7"/>
      <c r="BX73" s="7"/>
      <c r="BY73" s="7"/>
      <c r="BZ73" s="7"/>
      <c r="CA73" s="7"/>
      <c r="CB73" s="7"/>
      <c r="CC73" s="7"/>
      <c r="CD73" s="7"/>
      <c r="CE73" s="7"/>
      <c r="CF73" s="7"/>
      <c r="CG73" s="7"/>
      <c r="CH73" s="9">
        <f ca="1">E73</f>
        <v>2</v>
      </c>
    </row>
    <row r="74" spans="4:86" x14ac:dyDescent="0.25">
      <c r="D74" s="9">
        <v>2</v>
      </c>
      <c r="E74" s="9">
        <f t="shared" ca="1" si="21"/>
        <v>2</v>
      </c>
      <c r="F74" s="8">
        <f t="array" aca="1" ref="F74" ca="1">IF(SUM(OFFSET(Factors,VALUE(RIGHT(F$34,2)),1,1,68))=0,"None",SQRT(SUM((OFFSET(Factors,VALUE(RIGHT(F$34,2)),1,1,68)-$R74:$CG74)^2)))</f>
        <v>2.1602468994692869</v>
      </c>
      <c r="G74" s="8">
        <f t="array" aca="1" ref="G74" ca="1">IF(SUM(OFFSET(Factors,VALUE(RIGHT(G$34,2)),1,1,68))=0,"None",SQRT(SUM((OFFSET(Factors,VALUE(RIGHT(G$34,2)),1,1,68)-$R74:$CG74)^2)))</f>
        <v>0.97182531580755016</v>
      </c>
      <c r="H74" s="8">
        <f t="array" aca="1" ref="H74" ca="1">IF(SUM(OFFSET(Factors,VALUE(RIGHT(H$34,2)),1,1,68))=0,"None",SQRT(SUM((OFFSET(Factors,VALUE(RIGHT(H$34,2)),1,1,68)-$R74:$CG74)^2)))</f>
        <v>2.5922962793631443</v>
      </c>
      <c r="I74" s="8">
        <f t="array" aca="1" ref="I74" ca="1">IF(SUM(OFFSET(Factors,VALUE(RIGHT(I$34,2)),1,1,68))=0,"None",SQRT(SUM((OFFSET(Factors,VALUE(RIGHT(I$34,2)),1,1,68)-$R74:$CG74)^2)))</f>
        <v>2.3570226039551585</v>
      </c>
      <c r="J74" s="8">
        <f t="array" aca="1" ref="J74" ca="1">IF(SUM(OFFSET(Factors,VALUE(RIGHT(J$34,2)),1,1,68))=0,"None",SQRT(SUM((OFFSET(Factors,VALUE(RIGHT(J$34,2)),1,1,68)-$R74:$CG74)^2)))</f>
        <v>2.078460969082653</v>
      </c>
      <c r="K74" s="8">
        <f t="array" aca="1" ref="K74" ca="1">IF(SUM(OFFSET(Factors,VALUE(RIGHT(K$34,2)),1,1,68))=0,"None",SQRT(SUM((OFFSET(Factors,VALUE(RIGHT(K$34,2)),1,1,68)-$R74:$CG74)^2)))</f>
        <v>2.4720661623652211</v>
      </c>
      <c r="L74" s="8">
        <f t="array" aca="1" ref="L74" ca="1">IF(SUM(OFFSET(Factors,VALUE(RIGHT(L$34,2)),1,1,68))=0,"None",SQRT(SUM((OFFSET(Factors,VALUE(RIGHT(L$34,2)),1,1,68)-$R74:$CG74)^2)))</f>
        <v>2.4494897427831779</v>
      </c>
      <c r="M74" s="8">
        <f t="array" aca="1" ref="M74" ca="1">IF(SUM(OFFSET(Factors,VALUE(RIGHT(M$34,2)),1,1,68))=0,"None",SQRT(SUM((OFFSET(Factors,VALUE(RIGHT(M$34,2)),1,1,68)-$R74:$CG74)^2)))</f>
        <v>2.318404623873926</v>
      </c>
      <c r="N74" s="8">
        <f t="array" aca="1" ref="N74" ca="1">IF(SUM(OFFSET(Factors,VALUE(RIGHT(N$34,2)),1,1,68))=0,"None",SQRT(SUM((OFFSET(Factors,VALUE(RIGHT(N$34,2)),1,1,68)-$R74:$CG74)^2)))</f>
        <v>2.7386127875258306</v>
      </c>
      <c r="O74" s="8">
        <f t="array" aca="1" ref="O74" ca="1">IF(SUM(OFFSET(Factors,VALUE(RIGHT(O$34,2)),1,1,68))=0,"None",SQRT(SUM((OFFSET(Factors,VALUE(RIGHT(O$34,2)),1,1,68)-$R74:$CG74)^2)))</f>
        <v>2.4979991993593593</v>
      </c>
      <c r="Q74" s="18" t="s">
        <v>146</v>
      </c>
      <c r="R74" s="7">
        <v>0</v>
      </c>
      <c r="S74" s="7">
        <v>0</v>
      </c>
      <c r="T74" s="7">
        <v>0</v>
      </c>
      <c r="U74" s="7">
        <v>0</v>
      </c>
      <c r="V74" s="7">
        <v>0</v>
      </c>
      <c r="W74" s="7">
        <v>0</v>
      </c>
      <c r="X74" s="7">
        <v>0</v>
      </c>
      <c r="Y74" s="7">
        <v>1</v>
      </c>
      <c r="Z74" s="7">
        <v>0</v>
      </c>
      <c r="AA74" s="7">
        <v>0</v>
      </c>
      <c r="AB74" s="7">
        <v>0</v>
      </c>
      <c r="AC74" s="7">
        <v>0</v>
      </c>
      <c r="AD74" s="7">
        <v>0</v>
      </c>
      <c r="AE74" s="7">
        <v>0</v>
      </c>
      <c r="AF74" s="7">
        <v>0</v>
      </c>
      <c r="AG74" s="7">
        <v>0</v>
      </c>
      <c r="AH74" s="7">
        <v>0</v>
      </c>
      <c r="AI74" s="7">
        <v>0</v>
      </c>
      <c r="AJ74" s="7">
        <v>0</v>
      </c>
      <c r="AK74" s="7">
        <v>0</v>
      </c>
      <c r="AL74" s="7">
        <v>0</v>
      </c>
      <c r="AM74" s="7">
        <v>0</v>
      </c>
      <c r="AN74" s="7">
        <v>0</v>
      </c>
      <c r="AO74" s="7">
        <v>0</v>
      </c>
      <c r="AP74" s="7">
        <v>0</v>
      </c>
      <c r="AQ74" s="7">
        <v>0</v>
      </c>
      <c r="AR74" s="7">
        <v>0</v>
      </c>
      <c r="AS74" s="7">
        <v>1</v>
      </c>
      <c r="AT74" s="7">
        <v>0</v>
      </c>
      <c r="AU74" s="7">
        <v>0</v>
      </c>
      <c r="AV74" s="7">
        <v>0</v>
      </c>
      <c r="AW74" s="7">
        <v>0</v>
      </c>
      <c r="AX74" s="7">
        <v>0</v>
      </c>
      <c r="AY74" s="7">
        <v>0</v>
      </c>
      <c r="AZ74" s="7">
        <v>0</v>
      </c>
      <c r="BA74" s="7">
        <v>1</v>
      </c>
      <c r="BB74" s="7">
        <v>0</v>
      </c>
      <c r="BC74" s="7">
        <v>0</v>
      </c>
      <c r="BD74" s="7">
        <v>0</v>
      </c>
      <c r="BE74" s="7">
        <v>0</v>
      </c>
      <c r="BF74" s="7">
        <v>0</v>
      </c>
      <c r="BG74" s="7">
        <v>0</v>
      </c>
      <c r="BH74" s="7">
        <v>0</v>
      </c>
      <c r="BI74" s="7">
        <v>0</v>
      </c>
      <c r="BJ74" s="7">
        <v>0</v>
      </c>
      <c r="BK74" s="7">
        <v>0</v>
      </c>
      <c r="BL74" s="7">
        <v>0</v>
      </c>
      <c r="BM74" s="7">
        <v>0</v>
      </c>
      <c r="BN74" s="7">
        <v>0</v>
      </c>
      <c r="BO74" s="7">
        <v>0</v>
      </c>
      <c r="BP74" s="7">
        <v>0</v>
      </c>
      <c r="BQ74" s="7">
        <v>0</v>
      </c>
      <c r="BR74" s="7">
        <v>1</v>
      </c>
      <c r="BS74" s="7">
        <v>0</v>
      </c>
      <c r="BT74" s="7">
        <v>0</v>
      </c>
      <c r="BU74" s="7">
        <v>0</v>
      </c>
      <c r="BV74" s="7">
        <v>0</v>
      </c>
      <c r="BW74" s="7"/>
      <c r="BX74" s="7"/>
      <c r="BY74" s="7"/>
      <c r="BZ74" s="7"/>
      <c r="CA74" s="7"/>
      <c r="CB74" s="7"/>
      <c r="CC74" s="7"/>
      <c r="CD74" s="7"/>
      <c r="CE74" s="7"/>
      <c r="CF74" s="7"/>
      <c r="CG74" s="7"/>
      <c r="CH74" s="9">
        <f ca="1">E74</f>
        <v>2</v>
      </c>
    </row>
    <row r="75" spans="4:86" x14ac:dyDescent="0.25">
      <c r="D75" s="9">
        <v>2</v>
      </c>
      <c r="E75" s="9">
        <f t="shared" ca="1" si="21"/>
        <v>2</v>
      </c>
      <c r="F75" s="8">
        <f t="array" aca="1" ref="F75" ca="1">IF(SUM(OFFSET(Factors,VALUE(RIGHT(F$34,2)),1,1,68))=0,"None",SQRT(SUM((OFFSET(Factors,VALUE(RIGHT(F$34,2)),1,1,68)-$R75:$CG75)^2)))</f>
        <v>2.4494897427831779</v>
      </c>
      <c r="G75" s="8">
        <f t="array" aca="1" ref="G75" ca="1">IF(SUM(OFFSET(Factors,VALUE(RIGHT(G$34,2)),1,1,68))=0,"None",SQRT(SUM((OFFSET(Factors,VALUE(RIGHT(G$34,2)),1,1,68)-$R75:$CG75)^2)))</f>
        <v>1.7159383568311668</v>
      </c>
      <c r="H75" s="8">
        <f t="array" aca="1" ref="H75" ca="1">IF(SUM(OFFSET(Factors,VALUE(RIGHT(H$34,2)),1,1,68))=0,"None",SQRT(SUM((OFFSET(Factors,VALUE(RIGHT(H$34,2)),1,1,68)-$R75:$CG75)^2)))</f>
        <v>2.2627416997969521</v>
      </c>
      <c r="I75" s="8">
        <f t="array" aca="1" ref="I75" ca="1">IF(SUM(OFFSET(Factors,VALUE(RIGHT(I$34,2)),1,1,68))=0,"None",SQRT(SUM((OFFSET(Factors,VALUE(RIGHT(I$34,2)),1,1,68)-$R75:$CG75)^2)))</f>
        <v>2.4944382578492941</v>
      </c>
      <c r="J75" s="8">
        <f t="array" aca="1" ref="J75" ca="1">IF(SUM(OFFSET(Factors,VALUE(RIGHT(J$34,2)),1,1,68))=0,"None",SQRT(SUM((OFFSET(Factors,VALUE(RIGHT(J$34,2)),1,1,68)-$R75:$CG75)^2)))</f>
        <v>1.9798989873223332</v>
      </c>
      <c r="K75" s="8">
        <f t="array" aca="1" ref="K75" ca="1">IF(SUM(OFFSET(Factors,VALUE(RIGHT(K$34,2)),1,1,68))=0,"None",SQRT(SUM((OFFSET(Factors,VALUE(RIGHT(K$34,2)),1,1,68)-$R75:$CG75)^2)))</f>
        <v>2.6034165586355518</v>
      </c>
      <c r="L75" s="8">
        <f t="array" aca="1" ref="L75" ca="1">IF(SUM(OFFSET(Factors,VALUE(RIGHT(L$34,2)),1,1,68))=0,"None",SQRT(SUM((OFFSET(Factors,VALUE(RIGHT(L$34,2)),1,1,68)-$R75:$CG75)^2)))</f>
        <v>2.4494897427831779</v>
      </c>
      <c r="M75" s="8">
        <f t="array" aca="1" ref="M75" ca="1">IF(SUM(OFFSET(Factors,VALUE(RIGHT(M$34,2)),1,1,68))=0,"None",SQRT(SUM((OFFSET(Factors,VALUE(RIGHT(M$34,2)),1,1,68)-$R75:$CG75)^2)))</f>
        <v>2.4238399287081647</v>
      </c>
      <c r="N75" s="8">
        <f t="array" aca="1" ref="N75" ca="1">IF(SUM(OFFSET(Factors,VALUE(RIGHT(N$34,2)),1,1,68))=0,"None",SQRT(SUM((OFFSET(Factors,VALUE(RIGHT(N$34,2)),1,1,68)-$R75:$CG75)^2)))</f>
        <v>2.7386127875258306</v>
      </c>
      <c r="O75" s="8">
        <f t="array" aca="1" ref="O75" ca="1">IF(SUM(OFFSET(Factors,VALUE(RIGHT(O$34,2)),1,1,68))=0,"None",SQRT(SUM((OFFSET(Factors,VALUE(RIGHT(O$34,2)),1,1,68)-$R75:$CG75)^2)))</f>
        <v>2.4166091947189146</v>
      </c>
      <c r="Q75" s="18" t="s">
        <v>147</v>
      </c>
      <c r="R75" s="7">
        <v>0</v>
      </c>
      <c r="S75" s="7">
        <v>0</v>
      </c>
      <c r="T75" s="7">
        <v>0</v>
      </c>
      <c r="U75" s="7">
        <v>0</v>
      </c>
      <c r="V75" s="7">
        <v>0</v>
      </c>
      <c r="W75" s="7">
        <v>1</v>
      </c>
      <c r="X75" s="7">
        <v>0</v>
      </c>
      <c r="Y75" s="7">
        <v>0</v>
      </c>
      <c r="Z75" s="7">
        <v>0</v>
      </c>
      <c r="AA75" s="7">
        <v>0</v>
      </c>
      <c r="AB75" s="7">
        <v>0</v>
      </c>
      <c r="AC75" s="7">
        <v>0</v>
      </c>
      <c r="AD75" s="7">
        <v>0</v>
      </c>
      <c r="AE75" s="7">
        <v>0</v>
      </c>
      <c r="AF75" s="7">
        <v>0</v>
      </c>
      <c r="AG75" s="7">
        <v>0</v>
      </c>
      <c r="AH75" s="7">
        <v>0</v>
      </c>
      <c r="AI75" s="7">
        <v>0</v>
      </c>
      <c r="AJ75" s="7">
        <v>0</v>
      </c>
      <c r="AK75" s="7">
        <v>0</v>
      </c>
      <c r="AL75" s="7">
        <v>0</v>
      </c>
      <c r="AM75" s="7">
        <v>0</v>
      </c>
      <c r="AN75" s="7">
        <v>0</v>
      </c>
      <c r="AO75" s="7">
        <v>0</v>
      </c>
      <c r="AP75" s="7">
        <v>0</v>
      </c>
      <c r="AQ75" s="7">
        <v>0</v>
      </c>
      <c r="AR75" s="7">
        <v>0</v>
      </c>
      <c r="AS75" s="7">
        <v>1</v>
      </c>
      <c r="AT75" s="7">
        <v>0</v>
      </c>
      <c r="AU75" s="7">
        <v>0</v>
      </c>
      <c r="AV75" s="7">
        <v>0</v>
      </c>
      <c r="AW75" s="7">
        <v>0</v>
      </c>
      <c r="AX75" s="7">
        <v>0</v>
      </c>
      <c r="AY75" s="7">
        <v>0</v>
      </c>
      <c r="AZ75" s="7">
        <v>0</v>
      </c>
      <c r="BA75" s="7">
        <v>0</v>
      </c>
      <c r="BB75" s="7">
        <v>0</v>
      </c>
      <c r="BC75" s="7">
        <v>0</v>
      </c>
      <c r="BD75" s="7">
        <v>0</v>
      </c>
      <c r="BE75" s="7">
        <v>1</v>
      </c>
      <c r="BF75" s="7">
        <v>0</v>
      </c>
      <c r="BG75" s="7">
        <v>0</v>
      </c>
      <c r="BH75" s="7">
        <v>0</v>
      </c>
      <c r="BI75" s="7">
        <v>0</v>
      </c>
      <c r="BJ75" s="7">
        <v>0</v>
      </c>
      <c r="BK75" s="7">
        <v>0</v>
      </c>
      <c r="BL75" s="7">
        <v>0</v>
      </c>
      <c r="BM75" s="7">
        <v>0</v>
      </c>
      <c r="BN75" s="7">
        <v>0</v>
      </c>
      <c r="BO75" s="7">
        <v>0</v>
      </c>
      <c r="BP75" s="7">
        <v>1</v>
      </c>
      <c r="BQ75" s="7">
        <v>0</v>
      </c>
      <c r="BR75" s="7">
        <v>0</v>
      </c>
      <c r="BS75" s="7">
        <v>0</v>
      </c>
      <c r="BT75" s="7">
        <v>0</v>
      </c>
      <c r="BU75" s="7">
        <v>0</v>
      </c>
      <c r="BV75" s="7">
        <v>0</v>
      </c>
      <c r="BW75" s="7"/>
      <c r="BX75" s="7"/>
      <c r="BY75" s="7"/>
      <c r="BZ75" s="7"/>
      <c r="CA75" s="7"/>
      <c r="CB75" s="7"/>
      <c r="CC75" s="7"/>
      <c r="CD75" s="7"/>
      <c r="CE75" s="7"/>
      <c r="CF75" s="7"/>
      <c r="CG75" s="7"/>
      <c r="CH75" s="9">
        <f ca="1">E75</f>
        <v>2</v>
      </c>
    </row>
    <row r="76" spans="4:86" x14ac:dyDescent="0.25">
      <c r="D76" s="9">
        <v>6</v>
      </c>
      <c r="E76" s="9">
        <f t="shared" ca="1" si="21"/>
        <v>6</v>
      </c>
      <c r="F76" s="8">
        <f t="array" aca="1" ref="F76" ca="1">IF(SUM(OFFSET(Factors,VALUE(RIGHT(F$34,2)),1,1,68))=0,"None",SQRT(SUM((OFFSET(Factors,VALUE(RIGHT(F$34,2)),1,1,68)-$R76:$CG76)^2)))</f>
        <v>2.3094010767585034</v>
      </c>
      <c r="G76" s="8">
        <f t="array" aca="1" ref="G76" ca="1">IF(SUM(OFFSET(Factors,VALUE(RIGHT(G$34,2)),1,1,68))=0,"None",SQRT(SUM((OFFSET(Factors,VALUE(RIGHT(G$34,2)),1,1,68)-$R76:$CG76)^2)))</f>
        <v>2.2236106773543889</v>
      </c>
      <c r="H76" s="8">
        <f t="array" aca="1" ref="H76" ca="1">IF(SUM(OFFSET(Factors,VALUE(RIGHT(H$34,2)),1,1,68))=0,"None",SQRT(SUM((OFFSET(Factors,VALUE(RIGHT(H$34,2)),1,1,68)-$R76:$CG76)^2)))</f>
        <v>1.9798989873223332</v>
      </c>
      <c r="I76" s="8">
        <f t="array" aca="1" ref="I76" ca="1">IF(SUM(OFFSET(Factors,VALUE(RIGHT(I$34,2)),1,1,68))=0,"None",SQRT(SUM((OFFSET(Factors,VALUE(RIGHT(I$34,2)),1,1,68)-$R76:$CG76)^2)))</f>
        <v>2.3570226039551581</v>
      </c>
      <c r="J76" s="8">
        <f t="array" aca="1" ref="J76" ca="1">IF(SUM(OFFSET(Factors,VALUE(RIGHT(J$34,2)),1,1,68))=0,"None",SQRT(SUM((OFFSET(Factors,VALUE(RIGHT(J$34,2)),1,1,68)-$R76:$CG76)^2)))</f>
        <v>2.3494680248941462</v>
      </c>
      <c r="K76" s="8">
        <f t="array" aca="1" ref="K76" ca="1">IF(SUM(OFFSET(Factors,VALUE(RIGHT(K$34,2)),1,1,68))=0,"None",SQRT(SUM((OFFSET(Factors,VALUE(RIGHT(K$34,2)),1,1,68)-$R76:$CG76)^2)))</f>
        <v>0.88191710368819698</v>
      </c>
      <c r="L76" s="8">
        <f t="array" aca="1" ref="L76" ca="1">IF(SUM(OFFSET(Factors,VALUE(RIGHT(L$34,2)),1,1,68))=0,"None",SQRT(SUM((OFFSET(Factors,VALUE(RIGHT(L$34,2)),1,1,68)-$R76:$CG76)^2)))</f>
        <v>2.8284271247461903</v>
      </c>
      <c r="M76" s="8">
        <f t="array" aca="1" ref="M76" ca="1">IF(SUM(OFFSET(Factors,VALUE(RIGHT(M$34,2)),1,1,68))=0,"None",SQRT(SUM((OFFSET(Factors,VALUE(RIGHT(M$34,2)),1,1,68)-$R76:$CG76)^2)))</f>
        <v>1.3693063937629153</v>
      </c>
      <c r="N76" s="8">
        <f t="array" aca="1" ref="N76" ca="1">IF(SUM(OFFSET(Factors,VALUE(RIGHT(N$34,2)),1,1,68))=0,"None",SQRT(SUM((OFFSET(Factors,VALUE(RIGHT(N$34,2)),1,1,68)-$R76:$CG76)^2)))</f>
        <v>2.7386127875258306</v>
      </c>
      <c r="O76" s="8">
        <f t="array" aca="1" ref="O76" ca="1">IF(SUM(OFFSET(Factors,VALUE(RIGHT(O$34,2)),1,1,68))=0,"None",SQRT(SUM((OFFSET(Factors,VALUE(RIGHT(O$34,2)),1,1,68)-$R76:$CG76)^2)))</f>
        <v>2.5768197453450252</v>
      </c>
      <c r="Q76" s="19" t="s">
        <v>148</v>
      </c>
      <c r="R76" s="11">
        <v>0</v>
      </c>
      <c r="S76" s="11">
        <v>0</v>
      </c>
      <c r="T76" s="11">
        <v>0</v>
      </c>
      <c r="U76" s="11">
        <v>0</v>
      </c>
      <c r="V76" s="11">
        <v>0</v>
      </c>
      <c r="W76" s="11">
        <v>0</v>
      </c>
      <c r="X76" s="11">
        <v>0</v>
      </c>
      <c r="Y76" s="11">
        <v>1</v>
      </c>
      <c r="Z76" s="11">
        <v>0</v>
      </c>
      <c r="AA76" s="11">
        <v>0</v>
      </c>
      <c r="AB76" s="11">
        <v>0</v>
      </c>
      <c r="AC76" s="11">
        <v>0</v>
      </c>
      <c r="AD76" s="11">
        <v>0</v>
      </c>
      <c r="AE76" s="11">
        <v>0</v>
      </c>
      <c r="AF76" s="11">
        <v>0</v>
      </c>
      <c r="AG76" s="11">
        <v>0</v>
      </c>
      <c r="AH76" s="11">
        <v>0</v>
      </c>
      <c r="AI76" s="11">
        <v>0</v>
      </c>
      <c r="AJ76" s="11">
        <v>0</v>
      </c>
      <c r="AK76" s="11">
        <v>0</v>
      </c>
      <c r="AL76" s="11">
        <v>0</v>
      </c>
      <c r="AM76" s="11">
        <v>0</v>
      </c>
      <c r="AN76" s="11">
        <v>0</v>
      </c>
      <c r="AO76" s="11">
        <v>0</v>
      </c>
      <c r="AP76" s="11">
        <v>0</v>
      </c>
      <c r="AQ76" s="11">
        <v>0</v>
      </c>
      <c r="AR76" s="11">
        <v>0</v>
      </c>
      <c r="AS76" s="11">
        <v>0</v>
      </c>
      <c r="AT76" s="11">
        <v>0</v>
      </c>
      <c r="AU76" s="11">
        <v>0</v>
      </c>
      <c r="AV76" s="11">
        <v>1</v>
      </c>
      <c r="AW76" s="11">
        <v>0</v>
      </c>
      <c r="AX76" s="11">
        <v>0</v>
      </c>
      <c r="AY76" s="11">
        <v>0</v>
      </c>
      <c r="AZ76" s="11">
        <v>1</v>
      </c>
      <c r="BA76" s="11">
        <v>0</v>
      </c>
      <c r="BB76" s="11">
        <v>0</v>
      </c>
      <c r="BC76" s="11">
        <v>0</v>
      </c>
      <c r="BD76" s="11">
        <v>0</v>
      </c>
      <c r="BE76" s="11">
        <v>0</v>
      </c>
      <c r="BF76" s="11">
        <v>0</v>
      </c>
      <c r="BG76" s="11">
        <v>0</v>
      </c>
      <c r="BH76" s="11">
        <v>0</v>
      </c>
      <c r="BI76" s="11">
        <v>0</v>
      </c>
      <c r="BJ76" s="11">
        <v>0</v>
      </c>
      <c r="BK76" s="11">
        <v>0</v>
      </c>
      <c r="BL76" s="11">
        <v>0</v>
      </c>
      <c r="BM76" s="11">
        <v>0</v>
      </c>
      <c r="BN76" s="11">
        <v>0</v>
      </c>
      <c r="BO76" s="11">
        <v>0</v>
      </c>
      <c r="BP76" s="11">
        <v>0</v>
      </c>
      <c r="BQ76" s="11">
        <v>0</v>
      </c>
      <c r="BR76" s="11">
        <v>0</v>
      </c>
      <c r="BS76" s="11">
        <v>0</v>
      </c>
      <c r="BT76" s="11">
        <v>1</v>
      </c>
      <c r="BU76" s="11">
        <v>0</v>
      </c>
      <c r="BV76" s="11">
        <v>0</v>
      </c>
      <c r="BW76" s="11"/>
      <c r="BX76" s="11"/>
      <c r="BY76" s="11"/>
      <c r="BZ76" s="11"/>
      <c r="CA76" s="11"/>
      <c r="CB76" s="11"/>
      <c r="CC76" s="11"/>
      <c r="CD76" s="11"/>
      <c r="CE76" s="11"/>
      <c r="CF76" s="11"/>
      <c r="CG76" s="11"/>
      <c r="CH76" s="9">
        <f ca="1">E76</f>
        <v>6</v>
      </c>
    </row>
  </sheetData>
  <sortState ref="Q35:CH76">
    <sortCondition ref="Q35"/>
  </sortState>
  <mergeCells count="4">
    <mergeCell ref="U32:W32"/>
    <mergeCell ref="U33:W33"/>
    <mergeCell ref="F33:O33"/>
    <mergeCell ref="D33:E33"/>
  </mergeCells>
  <conditionalFormatting sqref="R35:CG76">
    <cfRule type="expression" dxfId="9" priority="10" stopIfTrue="1">
      <formula>$E35=1</formula>
    </cfRule>
  </conditionalFormatting>
  <conditionalFormatting sqref="R35:CG76">
    <cfRule type="expression" dxfId="8" priority="1">
      <formula>$E35=9</formula>
    </cfRule>
    <cfRule type="expression" dxfId="7" priority="2">
      <formula>$E35=8</formula>
    </cfRule>
    <cfRule type="expression" dxfId="6" priority="3">
      <formula>$E35=7</formula>
    </cfRule>
    <cfRule type="expression" dxfId="5" priority="4">
      <formula>$E35=6</formula>
    </cfRule>
    <cfRule type="expression" dxfId="4" priority="5" stopIfTrue="1">
      <formula>$E35=3</formula>
    </cfRule>
    <cfRule type="expression" dxfId="3" priority="6" stopIfTrue="1">
      <formula>$E35=2</formula>
    </cfRule>
    <cfRule type="expression" dxfId="2" priority="7" stopIfTrue="1">
      <formula>$E35=1</formula>
    </cfRule>
    <cfRule type="expression" dxfId="1" priority="8" stopIfTrue="1">
      <formula>$E35=4</formula>
    </cfRule>
    <cfRule type="expression" dxfId="0" priority="9" stopIfTrue="1">
      <formula>$E35=5</formula>
    </cfRule>
  </conditionalFormatting>
  <dataValidations disablePrompts="1" count="1">
    <dataValidation type="whole" allowBlank="1" showInputMessage="1" showErrorMessage="1" prompt="Enter a number between 2 and 10" sqref="R31" xr:uid="{00000000-0002-0000-0100-000000000000}">
      <formula1>2</formula1>
      <formula2>10</formula2>
    </dataValidation>
  </dataValidations>
  <pageMargins left="0.7" right="0.7" top="0.75" bottom="0.75" header="0.3" footer="0.3"/>
  <drawing r:id="rId1"/>
  <legacyDrawing r:id="rId2"/>
  <controls>
    <mc:AlternateContent xmlns:mc="http://schemas.openxmlformats.org/markup-compatibility/2006">
      <mc:Choice Requires="x14">
        <control shapeId="1029" r:id="rId3" name="btnReset">
          <controlPr defaultSize="0" autoLine="0" r:id="rId4">
            <anchor moveWithCells="1">
              <from>
                <xdr:col>19</xdr:col>
                <xdr:colOff>180975</xdr:colOff>
                <xdr:row>29</xdr:row>
                <xdr:rowOff>38100</xdr:rowOff>
              </from>
              <to>
                <xdr:col>19</xdr:col>
                <xdr:colOff>1000125</xdr:colOff>
                <xdr:row>31</xdr:row>
                <xdr:rowOff>152400</xdr:rowOff>
              </to>
            </anchor>
          </controlPr>
        </control>
      </mc:Choice>
      <mc:Fallback>
        <control shapeId="1029" r:id="rId3" name="btnReset"/>
      </mc:Fallback>
    </mc:AlternateContent>
    <mc:AlternateContent xmlns:mc="http://schemas.openxmlformats.org/markup-compatibility/2006">
      <mc:Choice Requires="x14">
        <control shapeId="1025" r:id="rId5" name="btnBuildClusters">
          <controlPr defaultSize="0" autoLine="0" r:id="rId6">
            <anchor moveWithCells="1">
              <from>
                <xdr:col>18</xdr:col>
                <xdr:colOff>76200</xdr:colOff>
                <xdr:row>29</xdr:row>
                <xdr:rowOff>38100</xdr:rowOff>
              </from>
              <to>
                <xdr:col>18</xdr:col>
                <xdr:colOff>895350</xdr:colOff>
                <xdr:row>31</xdr:row>
                <xdr:rowOff>152400</xdr:rowOff>
              </to>
            </anchor>
          </controlPr>
        </control>
      </mc:Choice>
      <mc:Fallback>
        <control shapeId="1025" r:id="rId5" name="btnBuildClusters"/>
      </mc:Fallback>
    </mc:AlternateContent>
    <mc:AlternateContent xmlns:mc="http://schemas.openxmlformats.org/markup-compatibility/2006">
      <mc:Choice Requires="x14">
        <control shapeId="1027" r:id="rId7" name="btnSortName">
          <controlPr defaultSize="0" autoLine="0" r:id="rId8">
            <anchor moveWithCells="1">
              <from>
                <xdr:col>23</xdr:col>
                <xdr:colOff>676275</xdr:colOff>
                <xdr:row>29</xdr:row>
                <xdr:rowOff>38100</xdr:rowOff>
              </from>
              <to>
                <xdr:col>24</xdr:col>
                <xdr:colOff>19050</xdr:colOff>
                <xdr:row>31</xdr:row>
                <xdr:rowOff>152400</xdr:rowOff>
              </to>
            </anchor>
          </controlPr>
        </control>
      </mc:Choice>
      <mc:Fallback>
        <control shapeId="1027" r:id="rId7" name="btnSortName"/>
      </mc:Fallback>
    </mc:AlternateContent>
    <mc:AlternateContent xmlns:mc="http://schemas.openxmlformats.org/markup-compatibility/2006">
      <mc:Choice Requires="x14">
        <control shapeId="1028" r:id="rId9" name="btnSortCluster">
          <controlPr defaultSize="0" autoLine="0" r:id="rId10">
            <anchor moveWithCells="1">
              <from>
                <xdr:col>22</xdr:col>
                <xdr:colOff>552450</xdr:colOff>
                <xdr:row>29</xdr:row>
                <xdr:rowOff>38100</xdr:rowOff>
              </from>
              <to>
                <xdr:col>22</xdr:col>
                <xdr:colOff>1409700</xdr:colOff>
                <xdr:row>31</xdr:row>
                <xdr:rowOff>152400</xdr:rowOff>
              </to>
            </anchor>
          </controlPr>
        </control>
      </mc:Choice>
      <mc:Fallback>
        <control shapeId="1028" r:id="rId9" name="btnSortCluster"/>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vt:i4>
      </vt:variant>
    </vt:vector>
  </HeadingPairs>
  <TitlesOfParts>
    <vt:vector size="19" baseType="lpstr">
      <vt:lpstr>Explanation</vt:lpstr>
      <vt:lpstr>ClusterAnalysis</vt:lpstr>
      <vt:lpstr>CalculateCentroids</vt:lpstr>
      <vt:lpstr>clusterValues</vt:lpstr>
      <vt:lpstr>Factors</vt:lpstr>
      <vt:lpstr>Names</vt:lpstr>
      <vt:lpstr>newCentroids</vt:lpstr>
      <vt:lpstr>newClusters</vt:lpstr>
      <vt:lpstr>numClusters</vt:lpstr>
      <vt:lpstr>prevClusters</vt:lpstr>
      <vt:lpstr>Random1</vt:lpstr>
      <vt:lpstr>Random2</vt:lpstr>
      <vt:lpstr>Random3</vt:lpstr>
      <vt:lpstr>randomStartingCentroids</vt:lpstr>
      <vt:lpstr>Seed</vt:lpstr>
      <vt:lpstr>sortKeyCluster</vt:lpstr>
      <vt:lpstr>sortKeyName</vt:lpstr>
      <vt:lpstr>sortRange</vt:lpstr>
      <vt:lpstr>timeToStop</vt:lpstr>
    </vt:vector>
  </TitlesOfParts>
  <Company>Mason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Killian McKee</dc:creator>
  <cp:lastModifiedBy>Killian McKee</cp:lastModifiedBy>
  <dcterms:created xsi:type="dcterms:W3CDTF">2015-04-15T17:42:25Z</dcterms:created>
  <dcterms:modified xsi:type="dcterms:W3CDTF">2017-09-27T19:08:37Z</dcterms:modified>
</cp:coreProperties>
</file>